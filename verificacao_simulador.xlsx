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Resumo" sheetId="2" state="visible" r:id="rId2"/>
    <sheet name="Fórmulas" sheetId="3" state="visible" r:id="rId3"/>
    <sheet name="Simulação 1" sheetId="4" state="visible" r:id="rId4"/>
    <sheet name="Investimento" sheetId="5" state="visible" r:id="rId5"/>
    <sheet name="2.000 simulaçõ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;-R$ #,##0.00;R$ 0.00"/>
    <numFmt numFmtId="165" formatCode="0.0000"/>
    <numFmt numFmtId="166" formatCode="0.000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pivotButton="0" quotePrefix="0" xfId="0"/>
    <xf numFmtId="0" fontId="3" fillId="0" borderId="1" pivotButton="0" quotePrefix="0" xfId="0"/>
    <xf numFmtId="0" fontId="6" fillId="0" borderId="0" pivotButton="0" quotePrefix="0" xfId="0"/>
    <xf numFmtId="164" fontId="4" fillId="3" borderId="1" pivotButton="0" quotePrefix="0" xfId="0"/>
    <xf numFmtId="1" fontId="4" fillId="3" borderId="1" pivotButton="0" quotePrefix="0" xfId="0"/>
    <xf numFmtId="49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  <xf numFmtId="10" fontId="2" fillId="0" borderId="1" pivotButton="0" quotePrefix="0" xfId="0"/>
    <xf numFmtId="10" fontId="5" fillId="0" borderId="1" pivotButton="0" quotePrefix="0" xfId="0"/>
    <xf numFmtId="165" fontId="2" fillId="0" borderId="1" pivotButton="0" quotePrefix="0" xfId="0"/>
    <xf numFmtId="0" fontId="6" fillId="0" borderId="1" pivotButton="0" quotePrefix="0" xfId="0"/>
    <xf numFmtId="1" fontId="2" fillId="0" borderId="1" pivotButton="0" quotePrefix="0" xfId="0"/>
    <xf numFmtId="1" fontId="5" fillId="0" borderId="1" pivotButton="0" quotePrefix="0" xfId="0"/>
    <xf numFmtId="3" fontId="2" fillId="0" borderId="1" pivotButton="0" quotePrefix="0" xfId="0"/>
    <xf numFmtId="3" fontId="5" fillId="0" borderId="1" pivotButton="0" quotePrefix="0" xfId="0"/>
    <xf numFmtId="164" fontId="2" fillId="0" borderId="1" pivotButton="0" quotePrefix="0" xfId="0"/>
    <xf numFmtId="164" fontId="5" fillId="0" borderId="1" pivotButton="0" quotePrefix="0" xfId="0"/>
    <xf numFmtId="166" fontId="2" fillId="0" borderId="1" pivotButton="0" quotePrefix="0" xfId="0"/>
    <xf numFmtId="166" fontId="5" fillId="0" borderId="1" pivotButton="0" quotePrefix="0" xfId="0"/>
    <xf numFmtId="2" fontId="2" fillId="0" borderId="1" pivotButton="0" quotePrefix="0" xfId="0"/>
    <xf numFmtId="2" fontId="5" fillId="0" borderId="1" pivotButton="0" quotePrefix="0" xfId="0"/>
    <xf numFmtId="0" fontId="3" fillId="0" borderId="0" pivotButton="0" quotePrefix="0" xfId="0"/>
    <xf numFmtId="0" fontId="3" fillId="2" borderId="1" pivotButton="0" quotePrefix="0" xfId="0"/>
    <xf numFmtId="0" fontId="2" fillId="2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Verificação dos cálculos do simulador da Betinha</t>
        </is>
      </c>
    </row>
    <row r="2">
      <c r="A2" s="2" t="inlineStr"/>
    </row>
    <row r="3">
      <c r="A3" s="2" t="inlineStr">
        <is>
          <t>O que é: esta planilha refaz, com fórmulas do Excel, as contas que o simulador faz em Python, e compara os dois resultados.</t>
        </is>
      </c>
    </row>
    <row r="4">
      <c r="A4" s="2" t="inlineStr">
        <is>
          <t>Como ler: na coluna "Situação", OK (verde) quer dizer que o Excel e o Python chegaram ao mesmo número (diferença de até R$ 0.01). VERIFICAR (vermelho) indica que algo precisa ser revisado.</t>
        </is>
      </c>
    </row>
    <row r="5">
      <c r="A5" s="2" t="inlineStr"/>
    </row>
    <row r="6">
      <c r="A6" s="3" t="inlineStr">
        <is>
          <t>Cores:</t>
        </is>
      </c>
    </row>
    <row r="7">
      <c r="A7" s="2" t="inlineStr">
        <is>
          <t xml:space="preserve">  Azul com fundo amarelo = dados de entrada (os mesmos da tela do simulador).</t>
        </is>
      </c>
    </row>
    <row r="8">
      <c r="A8" s="2" t="inlineStr">
        <is>
          <t xml:space="preserve">  Preto = fórmula do Excel.</t>
        </is>
      </c>
    </row>
    <row r="9">
      <c r="A9" s="2" t="inlineStr">
        <is>
          <t xml:space="preserve">  Verde = número calculado pelo Python (simulador.py), copiado para comparação.</t>
        </is>
      </c>
    </row>
    <row r="10">
      <c r="A10" s="2" t="inlineStr"/>
    </row>
    <row r="11">
      <c r="A11" s="3" t="inlineStr">
        <is>
          <t>Abas:</t>
        </is>
      </c>
    </row>
    <row r="12">
      <c r="A12" s="2" t="inlineStr">
        <is>
          <t xml:space="preserve">  1. Resumo – quantas verificações deram OK.</t>
        </is>
      </c>
    </row>
    <row r="13">
      <c r="A13" s="2" t="inlineStr">
        <is>
          <t xml:space="preserve">  2. Fórmulas – conta por conta: chance real, total apostado, perda esperada, investimento.</t>
        </is>
      </c>
    </row>
    <row r="14">
      <c r="A14" s="2" t="inlineStr">
        <is>
          <t xml:space="preserve">  3. Simulação 1 – a primeira das 2.000 simulações, período por período, com os mesmos sorteios do Python.</t>
        </is>
      </c>
    </row>
    <row r="15">
      <c r="A15" s="2" t="inlineStr">
        <is>
          <t xml:space="preserve">  4. Investimento – o dinheiro investido crescendo período por período (juros compostos).</t>
        </is>
      </c>
    </row>
    <row r="16">
      <c r="A16" s="2" t="inlineStr">
        <is>
          <t xml:space="preserve">  5. 2.000 simulações – o resultado final de cada simulação e as estatísticas mostradas na tela.</t>
        </is>
      </c>
    </row>
    <row r="17">
      <c r="A17" s="2" t="inlineStr"/>
    </row>
    <row r="18">
      <c r="A18" s="2" t="inlineStr">
        <is>
          <t>Para conferir outro cenário: mude PARAMETROS no arquivo gerar_planilha_verificacao.py e rode "python gerar_planilha_verificacao.py" de novo.</t>
        </is>
      </c>
    </row>
    <row r="19">
      <c r="A19" s="2" t="inlineStr">
        <is>
          <t>Observação: a média das 2.000 simulações é aleatória. Ela não precisa ser igual à perda esperada, só ficar perto dela (Lei dos Grandes Números). A aba Fórmulas mostra a margem de tolerância usada.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</cols>
  <sheetData>
    <row r="1">
      <c r="A1" s="4" t="inlineStr">
        <is>
          <t>Resumo da verificação</t>
        </is>
      </c>
    </row>
    <row r="3">
      <c r="A3" s="5" t="inlineStr">
        <is>
          <t>Verificação</t>
        </is>
      </c>
      <c r="B3" s="5" t="inlineStr">
        <is>
          <t>Situação</t>
        </is>
      </c>
    </row>
    <row r="4">
      <c r="A4" s="6" t="inlineStr">
        <is>
          <t>Contas da aba Fórmulas (todas)</t>
        </is>
      </c>
      <c r="B4" s="6">
        <f>IF(COUNTIF('Fórmulas'!E13:E28,"OK")=16,"OK","VERIFICAR")</f>
        <v/>
      </c>
    </row>
    <row r="5">
      <c r="A5" s="6" t="inlineStr">
        <is>
          <t>Média das simulações perto da perda esperada</t>
        </is>
      </c>
      <c r="B5" s="6">
        <f>'Fórmulas'!B34</f>
        <v/>
      </c>
    </row>
    <row r="6">
      <c r="A6" s="6" t="inlineStr">
        <is>
          <t>Simulação nº 1 refeita período por período</t>
        </is>
      </c>
      <c r="B6" s="6">
        <f>'Simulação 1'!J7</f>
        <v/>
      </c>
    </row>
    <row r="7">
      <c r="A7" s="6" t="inlineStr">
        <is>
          <t>Investimento refeito período por período</t>
        </is>
      </c>
      <c r="B7" s="6">
        <f>Investimento!H6</f>
        <v/>
      </c>
    </row>
    <row r="8">
      <c r="A8" s="6" t="inlineStr">
        <is>
          <t>Estatísticas das 2.000 simulações (todas)</t>
        </is>
      </c>
      <c r="B8" s="6">
        <f>IF(COUNTIF('2.000 simulações'!H2:H6,"OK")=5,"OK","VERIFICAR")</f>
        <v/>
      </c>
    </row>
    <row r="10">
      <c r="A10" s="7" t="inlineStr">
        <is>
          <t>Verificações OK</t>
        </is>
      </c>
      <c r="B10" s="7">
        <f>COUNTIF(B4:B8,"OK")&amp;" de 5"</f>
        <v/>
      </c>
    </row>
    <row r="12">
      <c r="A12" s="8" t="inlineStr">
        <is>
          <t>Cenário conferido: 3 aposta(s) por semana de R$ 20.00, odd 2.00, margem 7%, 3 ano(s), investimento a 10% ao ano, 2000 simulações.</t>
        </is>
      </c>
    </row>
  </sheetData>
  <conditionalFormatting sqref="B4:B8">
    <cfRule type="cellIs" priority="1" operator="equal" dxfId="0">
      <formula>"OK"</formula>
    </cfRule>
    <cfRule type="cellIs" priority="2" operator="equal" dxfId="1">
      <formula>"VERIFICAR"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20" customWidth="1" min="3" max="3"/>
    <col width="14" customWidth="1" min="4" max="4"/>
    <col width="13" customWidth="1" min="5" max="5"/>
    <col width="55" customWidth="1" min="6" max="6"/>
  </cols>
  <sheetData>
    <row r="1">
      <c r="A1" s="4" t="inlineStr">
        <is>
          <t>Conta por conta: Excel × Python</t>
        </is>
      </c>
    </row>
    <row r="3">
      <c r="A3" s="5" t="inlineStr">
        <is>
          <t>Entrada (igual à tela do simulador)</t>
        </is>
      </c>
      <c r="B3" s="5" t="inlineStr">
        <is>
          <t>Valor</t>
        </is>
      </c>
    </row>
    <row r="4">
      <c r="A4" s="6" t="inlineStr">
        <is>
          <t>Valor de cada aposta (R$)</t>
        </is>
      </c>
      <c r="B4" s="9" t="n">
        <v>20</v>
      </c>
    </row>
    <row r="5">
      <c r="A5" s="6" t="inlineStr">
        <is>
          <t>Quantas apostas</t>
        </is>
      </c>
      <c r="B5" s="10" t="n">
        <v>3</v>
      </c>
    </row>
    <row r="6">
      <c r="A6" s="6" t="inlineStr">
        <is>
          <t>Com que frequência (dia, semana ou mês)</t>
        </is>
      </c>
      <c r="B6" s="11" t="inlineStr">
        <is>
          <t>semana</t>
        </is>
      </c>
    </row>
    <row r="7">
      <c r="A7" s="6" t="inlineStr">
        <is>
          <t>Por quantos anos</t>
        </is>
      </c>
      <c r="B7" s="10" t="n">
        <v>3</v>
      </c>
    </row>
    <row r="8">
      <c r="A8" s="6" t="inlineStr">
        <is>
          <t>Odd média das apostas</t>
        </is>
      </c>
      <c r="B8" s="12" t="n">
        <v>2</v>
      </c>
    </row>
    <row r="9">
      <c r="A9" s="6" t="inlineStr">
        <is>
          <t>Margem da casa</t>
        </is>
      </c>
      <c r="B9" s="13" t="n">
        <v>0.07000000000000001</v>
      </c>
    </row>
    <row r="10">
      <c r="A10" s="6" t="inlineStr">
        <is>
          <t>Rendimento do investimento (ao ano)</t>
        </is>
      </c>
      <c r="B10" s="13" t="n">
        <v>0.1</v>
      </c>
    </row>
    <row r="12">
      <c r="A12" s="5" t="inlineStr">
        <is>
          <t>Conta</t>
        </is>
      </c>
      <c r="B12" s="5" t="inlineStr">
        <is>
          <t>Excel (fórmula)</t>
        </is>
      </c>
      <c r="C12" s="5" t="inlineStr">
        <is>
          <t>Python (simulador)</t>
        </is>
      </c>
      <c r="D12" s="5" t="inlineStr">
        <is>
          <t>Diferença</t>
        </is>
      </c>
      <c r="E12" s="5" t="inlineStr">
        <is>
          <t>Situação</t>
        </is>
      </c>
      <c r="F12" s="5" t="inlineStr">
        <is>
          <t>Como é calculado</t>
        </is>
      </c>
    </row>
    <row r="13">
      <c r="A13" s="6" t="inlineStr">
        <is>
          <t>Chance que a odd mostra</t>
        </is>
      </c>
      <c r="B13" s="14">
        <f>1/B8</f>
        <v/>
      </c>
      <c r="C13" s="15" t="n">
        <v>0.5</v>
      </c>
      <c r="D13" s="16">
        <f>B13-C13</f>
        <v/>
      </c>
      <c r="E13" s="6">
        <f>IF(ABS(D13)&lt;=0.01,"OK","VERIFICAR")</f>
        <v/>
      </c>
      <c r="F13" s="17" t="inlineStr">
        <is>
          <t>1 ÷ odd</t>
        </is>
      </c>
    </row>
    <row r="14">
      <c r="A14" s="6" t="inlineStr">
        <is>
          <t>Chance real de ganhar</t>
        </is>
      </c>
      <c r="B14" s="14">
        <f>(1/B8)*(1-B9)</f>
        <v/>
      </c>
      <c r="C14" s="15" t="n">
        <v>0.465</v>
      </c>
      <c r="D14" s="16">
        <f>B14-C14</f>
        <v/>
      </c>
      <c r="E14" s="6">
        <f>IF(ABS(D14)&lt;=0.01,"OK","VERIFICAR")</f>
        <v/>
      </c>
      <c r="F14" s="17" t="inlineStr">
        <is>
          <t>(1 ÷ odd) × (1 − margem)</t>
        </is>
      </c>
    </row>
    <row r="15">
      <c r="A15" s="6" t="inlineStr">
        <is>
          <t>Apostas por período</t>
        </is>
      </c>
      <c r="B15" s="18">
        <f>IF(B6="dia",B5*7,B5)</f>
        <v/>
      </c>
      <c r="C15" s="19" t="n">
        <v>3</v>
      </c>
      <c r="D15" s="16">
        <f>B15-C15</f>
        <v/>
      </c>
      <c r="E15" s="6">
        <f>IF(ABS(D15)&lt;=0.01,"OK","VERIFICAR")</f>
        <v/>
      </c>
      <c r="F15" s="17" t="inlineStr">
        <is>
          <t>se for por dia, o simulador agrupa por semana (× 7)</t>
        </is>
      </c>
    </row>
    <row r="16">
      <c r="A16" s="6" t="inlineStr">
        <is>
          <t>Períodos por ano</t>
        </is>
      </c>
      <c r="B16" s="18">
        <f>IF(B6="mês",12,52)</f>
        <v/>
      </c>
      <c r="C16" s="19" t="n">
        <v>52</v>
      </c>
      <c r="D16" s="16">
        <f>B16-C16</f>
        <v/>
      </c>
      <c r="E16" s="6">
        <f>IF(ABS(D16)&lt;=0.01,"OK","VERIFICAR")</f>
        <v/>
      </c>
      <c r="F16" s="17" t="inlineStr">
        <is>
          <t>52 semanas ou 12 meses</t>
        </is>
      </c>
    </row>
    <row r="17">
      <c r="A17" s="6" t="inlineStr">
        <is>
          <t>Número de apostas no total</t>
        </is>
      </c>
      <c r="B17" s="20">
        <f>B15*B16*B7</f>
        <v/>
      </c>
      <c r="C17" s="21" t="n">
        <v>468</v>
      </c>
      <c r="D17" s="16">
        <f>B17-C17</f>
        <v/>
      </c>
      <c r="E17" s="6">
        <f>IF(ABS(D17)&lt;=0.01,"OK","VERIFICAR")</f>
        <v/>
      </c>
      <c r="F17" s="17" t="inlineStr">
        <is>
          <t>apostas por período × períodos por ano × anos</t>
        </is>
      </c>
    </row>
    <row r="18">
      <c r="A18" s="6" t="inlineStr">
        <is>
          <t>Total apostado (R$)</t>
        </is>
      </c>
      <c r="B18" s="22">
        <f>B17*B4</f>
        <v/>
      </c>
      <c r="C18" s="23" t="n">
        <v>9360</v>
      </c>
      <c r="D18" s="16">
        <f>B18-C18</f>
        <v/>
      </c>
      <c r="E18" s="6">
        <f>IF(ABS(D18)&lt;=0.01,"OK","VERIFICAR")</f>
        <v/>
      </c>
      <c r="F18" s="17" t="inlineStr">
        <is>
          <t>número de apostas × valor</t>
        </is>
      </c>
    </row>
    <row r="19">
      <c r="A19" s="6" t="inlineStr">
        <is>
          <t>Ganho ou perda média por aposta (R$)</t>
        </is>
      </c>
      <c r="B19" s="22">
        <f>B4*(B14*B8-1)</f>
        <v/>
      </c>
      <c r="C19" s="23" t="n">
        <v>-1.4</v>
      </c>
      <c r="D19" s="16">
        <f>B19-C19</f>
        <v/>
      </c>
      <c r="E19" s="6">
        <f>IF(ABS(D19)&lt;=0.01,"OK","VERIFICAR")</f>
        <v/>
      </c>
      <c r="F19" s="17" t="inlineStr">
        <is>
          <t>valor × (chance real × odd − 1)</t>
        </is>
      </c>
    </row>
    <row r="20">
      <c r="A20" s="6" t="inlineStr">
        <is>
          <t>Perda esperada no período (R$)</t>
        </is>
      </c>
      <c r="B20" s="22">
        <f>B18*B9</f>
        <v/>
      </c>
      <c r="C20" s="23" t="n">
        <v>655.2</v>
      </c>
      <c r="D20" s="16">
        <f>B20-C20</f>
        <v/>
      </c>
      <c r="E20" s="6">
        <f>IF(ABS(D20)&lt;=0.01,"OK","VERIFICAR")</f>
        <v/>
      </c>
      <c r="F20" s="17" t="inlineStr">
        <is>
          <t>margem × total apostado</t>
        </is>
      </c>
    </row>
    <row r="21">
      <c r="A21" s="6" t="inlineStr">
        <is>
          <t>Mesma perda, pela média por aposta (R$)</t>
        </is>
      </c>
      <c r="B21" s="22">
        <f>-B19*B17</f>
        <v/>
      </c>
      <c r="C21" s="23" t="n">
        <v>655.2</v>
      </c>
      <c r="D21" s="16">
        <f>B21-C21</f>
        <v/>
      </c>
      <c r="E21" s="6">
        <f>IF(ABS(D21)&lt;=0.01,"OK","VERIFICAR")</f>
        <v/>
      </c>
      <c r="F21" s="17" t="inlineStr">
        <is>
          <t>deve dar igual à linha de cima</t>
        </is>
      </c>
    </row>
    <row r="22">
      <c r="A22" s="6" t="inlineStr">
        <is>
          <t>Taxa do investimento por período</t>
        </is>
      </c>
      <c r="B22" s="24">
        <f>(1+B10)^(1/B16)-1</f>
        <v/>
      </c>
      <c r="C22" s="25" t="n">
        <v>0.001834568839232942</v>
      </c>
      <c r="D22" s="16">
        <f>B22-C22</f>
        <v/>
      </c>
      <c r="E22" s="6">
        <f>IF(ABS(D22)&lt;=0.01,"OK","VERIFICAR")</f>
        <v/>
      </c>
      <c r="F22" s="17" t="inlineStr">
        <is>
          <t>(1 + taxa anual) ^ (1 ÷ períodos por ano) − 1</t>
        </is>
      </c>
    </row>
    <row r="23">
      <c r="A23" s="6" t="inlineStr">
        <is>
          <t>Valor guardado por período (R$)</t>
        </is>
      </c>
      <c r="B23" s="22">
        <f>B15*B4</f>
        <v/>
      </c>
      <c r="C23" s="23" t="n">
        <v>60</v>
      </c>
      <c r="D23" s="16">
        <f>B23-C23</f>
        <v/>
      </c>
      <c r="E23" s="6">
        <f>IF(ABS(D23)&lt;=0.01,"OK","VERIFICAR")</f>
        <v/>
      </c>
      <c r="F23" s="17" t="inlineStr">
        <is>
          <t>o mesmo dinheiro que iria para as apostas</t>
        </is>
      </c>
    </row>
    <row r="24">
      <c r="A24" s="6" t="inlineStr">
        <is>
          <t>Saldo se tivesse investido (R$)</t>
        </is>
      </c>
      <c r="B24" s="22">
        <f>IF(B22=0,B23*B16*B7,B23*(((1+B22)^(B16*B7)-1)/B22)*(1+B22))</f>
        <v/>
      </c>
      <c r="C24" s="23" t="n">
        <v>10845.2918809337</v>
      </c>
      <c r="D24" s="16">
        <f>B24-C24</f>
        <v/>
      </c>
      <c r="E24" s="6">
        <f>IF(ABS(D24)&lt;=0.01,"OK","VERIFICAR")</f>
        <v/>
      </c>
      <c r="F24" s="17" t="inlineStr">
        <is>
          <t>aporte × [((1 + i)^n − 1) ÷ i] × (1 + i)</t>
        </is>
      </c>
    </row>
    <row r="25">
      <c r="A25" s="6" t="inlineStr">
        <is>
          <t>Rendimento do investimento (R$)</t>
        </is>
      </c>
      <c r="B25" s="22">
        <f>B24-B18</f>
        <v/>
      </c>
      <c r="C25" s="23" t="n">
        <v>1485.291880933704</v>
      </c>
      <c r="D25" s="16">
        <f>B25-C25</f>
        <v/>
      </c>
      <c r="E25" s="6">
        <f>IF(ABS(D25)&lt;=0.01,"OK","VERIFICAR")</f>
        <v/>
      </c>
      <c r="F25" s="17" t="inlineStr">
        <is>
          <t>saldo − total guardado</t>
        </is>
      </c>
    </row>
    <row r="26">
      <c r="A26" s="6" t="inlineStr">
        <is>
          <t>Perda média em cestas básicas</t>
        </is>
      </c>
      <c r="B26" s="26">
        <f>B20/922.51</f>
        <v/>
      </c>
      <c r="C26" s="27" t="n">
        <v>0.7102362034015892</v>
      </c>
      <c r="D26" s="16">
        <f>B26-C26</f>
        <v/>
      </c>
      <c r="E26" s="6">
        <f>IF(ABS(D26)&lt;=0.01,"OK","VERIFICAR")</f>
        <v/>
      </c>
      <c r="F26" s="17" t="inlineStr">
        <is>
          <t>perda esperada ÷ R$ 922.51 (DIEESE, custo da cesta básica em São Paulo, setembro de 2026)</t>
        </is>
      </c>
    </row>
    <row r="27">
      <c r="A27" s="6" t="inlineStr">
        <is>
          <t>Perda média em botijões de gás</t>
        </is>
      </c>
      <c r="B27" s="26">
        <f>B20/114.8</f>
        <v/>
      </c>
      <c r="C27" s="27" t="n">
        <v>5.707317073170732</v>
      </c>
      <c r="D27" s="16">
        <f>B27-C27</f>
        <v/>
      </c>
      <c r="E27" s="6">
        <f>IF(ABS(D27)&lt;=0.01,"OK","VERIFICAR")</f>
        <v/>
      </c>
      <c r="F27" s="17" t="inlineStr">
        <is>
          <t>perda esperada ÷ R$ 114.80 (ANP, preço médio nacional do botijão de 13 kg, setembro de 2026)</t>
        </is>
      </c>
    </row>
    <row r="28">
      <c r="A28" s="6" t="inlineStr">
        <is>
          <t>Perda média em salários mínimos</t>
        </is>
      </c>
      <c r="B28" s="26">
        <f>B20/1621.0</f>
        <v/>
      </c>
      <c r="C28" s="27" t="n">
        <v>0.4041949413942011</v>
      </c>
      <c r="D28" s="16">
        <f>B28-C28</f>
        <v/>
      </c>
      <c r="E28" s="6">
        <f>IF(ABS(D28)&lt;=0.01,"OK","VERIFICAR")</f>
        <v/>
      </c>
      <c r="F28" s="17" t="inlineStr">
        <is>
          <t>perda esperada ÷ R$ 1621.00 (Decreto nº 12.797/2025 (salário mínimo de 2026))</t>
        </is>
      </c>
    </row>
    <row r="30">
      <c r="A30" s="28" t="inlineStr">
        <is>
          <t>Média das 2.000 simulações × perda esperada</t>
        </is>
      </c>
    </row>
    <row r="31">
      <c r="A31" s="6" t="inlineStr">
        <is>
          <t>Resultado médio das simulações (R$)</t>
        </is>
      </c>
      <c r="B31" s="22">
        <f>AVERAGE('2.000 simulações'!B:B)</f>
        <v/>
      </c>
      <c r="C31" s="23" t="n">
        <v>-650.04</v>
      </c>
      <c r="F31" s="8" t="inlineStr">
        <is>
          <t>É sorteio: não precisa dar igual, só ficar dentro da tolerância.</t>
        </is>
      </c>
    </row>
    <row r="32">
      <c r="A32" s="6" t="inlineStr">
        <is>
          <t>Perda esperada pela fórmula (R$)</t>
        </is>
      </c>
      <c r="B32" s="22">
        <f>-B20</f>
        <v/>
      </c>
    </row>
    <row r="33">
      <c r="A33" s="6" t="inlineStr">
        <is>
          <t>Tolerância (3 erros-padrão) (R$)</t>
        </is>
      </c>
      <c r="B33" s="22">
        <f>3*STDEV('2.000 simulações'!B:B)/SQRT(COUNT('2.000 simulações'!B:B))</f>
        <v/>
      </c>
    </row>
    <row r="34">
      <c r="A34" s="6" t="inlineStr">
        <is>
          <t>A média ficou perto do esperado?</t>
        </is>
      </c>
      <c r="B34" s="6">
        <f>IF(ABS(B31-B32)&lt;=B33,"OK","VERIFICAR")</f>
        <v/>
      </c>
    </row>
  </sheetData>
  <conditionalFormatting sqref="E13:E28">
    <cfRule type="cellIs" priority="1" operator="equal" dxfId="0">
      <formula>"OK"</formula>
    </cfRule>
    <cfRule type="cellIs" priority="2" operator="equal" dxfId="1">
      <formula>"VERIFICAR"</formula>
    </cfRule>
  </conditionalFormatting>
  <conditionalFormatting sqref="B34">
    <cfRule type="cellIs" priority="3" operator="equal" dxfId="0">
      <formula>"OK"</formula>
    </cfRule>
    <cfRule type="cellIs" priority="4" operator="equal" dxfId="1">
      <formula>"VERIFICAR"</formula>
    </cfRule>
  </conditionalFormatting>
  <dataValidations count="1">
    <dataValidation sqref="B6" showDropDown="0" showInputMessage="0" showErrorMessage="0" allowBlank="0" type="list">
      <formula1>"dia,semana,mês"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5" customWidth="1" min="4" max="4"/>
    <col width="14" customWidth="1" min="5" max="5"/>
    <col width="18" customWidth="1" min="6" max="6"/>
    <col width="20" customWidth="1" min="7" max="7"/>
    <col width="30" customWidth="1" min="9" max="9"/>
    <col width="16" customWidth="1" min="10" max="10"/>
  </cols>
  <sheetData>
    <row r="1">
      <c r="A1" s="4" t="inlineStr">
        <is>
          <t>A simulação nº 1, período por período (mesmos sorteios do Python)</t>
        </is>
      </c>
    </row>
    <row r="2">
      <c r="A2" s="8" t="inlineStr">
        <is>
          <t>A coluna B vem do Python: quantas apostas a pessoa ganhou em cada período. Todo o resto é fórmula do Excel.</t>
        </is>
      </c>
    </row>
    <row r="4">
      <c r="A4" s="5" t="inlineStr">
        <is>
          <t>Período</t>
        </is>
      </c>
      <c r="B4" s="5" t="inlineStr">
        <is>
          <t>Apostas ganhas (sorteio do Python)</t>
        </is>
      </c>
      <c r="C4" s="5" t="inlineStr">
        <is>
          <t>Apostas feitas</t>
        </is>
      </c>
      <c r="D4" s="5" t="inlineStr">
        <is>
          <t>Recebido (R$)</t>
        </is>
      </c>
      <c r="E4" s="5" t="inlineStr">
        <is>
          <t>Gasto (R$)</t>
        </is>
      </c>
      <c r="F4" s="5" t="inlineStr">
        <is>
          <t>Lucro do período (R$)</t>
        </is>
      </c>
      <c r="G4" s="5" t="inlineStr">
        <is>
          <t>Lucro acumulado (R$)</t>
        </is>
      </c>
      <c r="I4" s="29" t="inlineStr">
        <is>
          <t>Conferência</t>
        </is>
      </c>
      <c r="J4" s="30" t="inlineStr"/>
    </row>
    <row r="5">
      <c r="A5" s="18" t="n">
        <v>1</v>
      </c>
      <c r="B5" s="19" t="n">
        <v>2</v>
      </c>
      <c r="C5" s="18">
        <f>'Fórmulas'!$B$15</f>
        <v/>
      </c>
      <c r="D5" s="22">
        <f>B5*'Fórmulas'!$B$4*'Fórmulas'!$B$8</f>
        <v/>
      </c>
      <c r="E5" s="22">
        <f>C5*'Fórmulas'!$B$4</f>
        <v/>
      </c>
      <c r="F5" s="22">
        <f>D5-E5</f>
        <v/>
      </c>
      <c r="G5" s="22">
        <f>F5</f>
        <v/>
      </c>
      <c r="I5" s="6" t="inlineStr">
        <is>
          <t>Resultado final no Excel (R$)</t>
        </is>
      </c>
      <c r="J5" s="22">
        <f>G160</f>
        <v/>
      </c>
    </row>
    <row r="6">
      <c r="A6" s="18" t="n">
        <v>2</v>
      </c>
      <c r="B6" s="19" t="n">
        <v>1</v>
      </c>
      <c r="C6" s="18">
        <f>'Fórmulas'!$B$15</f>
        <v/>
      </c>
      <c r="D6" s="22">
        <f>B6*'Fórmulas'!$B$4*'Fórmulas'!$B$8</f>
        <v/>
      </c>
      <c r="E6" s="22">
        <f>C6*'Fórmulas'!$B$4</f>
        <v/>
      </c>
      <c r="F6" s="22">
        <f>D6-E6</f>
        <v/>
      </c>
      <c r="G6" s="22">
        <f>G5+F6</f>
        <v/>
      </c>
      <c r="I6" s="6" t="inlineStr">
        <is>
          <t>Resultado final no Python (R$)</t>
        </is>
      </c>
      <c r="J6" s="23" t="n">
        <v>-880</v>
      </c>
    </row>
    <row r="7">
      <c r="A7" s="18" t="n">
        <v>3</v>
      </c>
      <c r="B7" s="19" t="n">
        <v>2</v>
      </c>
      <c r="C7" s="18">
        <f>'Fórmulas'!$B$15</f>
        <v/>
      </c>
      <c r="D7" s="22">
        <f>B7*'Fórmulas'!$B$4*'Fórmulas'!$B$8</f>
        <v/>
      </c>
      <c r="E7" s="22">
        <f>C7*'Fórmulas'!$B$4</f>
        <v/>
      </c>
      <c r="F7" s="22">
        <f>D7-E7</f>
        <v/>
      </c>
      <c r="G7" s="22">
        <f>G6+F7</f>
        <v/>
      </c>
      <c r="I7" s="6" t="inlineStr">
        <is>
          <t>Situação</t>
        </is>
      </c>
      <c r="J7" s="6">
        <f>IF(ABS(J5-J6)&lt;=0.01,"OK","VERIFICAR")</f>
        <v/>
      </c>
    </row>
    <row r="8">
      <c r="A8" s="18" t="n">
        <v>4</v>
      </c>
      <c r="B8" s="19" t="n">
        <v>2</v>
      </c>
      <c r="C8" s="18">
        <f>'Fórmulas'!$B$15</f>
        <v/>
      </c>
      <c r="D8" s="22">
        <f>B8*'Fórmulas'!$B$4*'Fórmulas'!$B$8</f>
        <v/>
      </c>
      <c r="E8" s="22">
        <f>C8*'Fórmulas'!$B$4</f>
        <v/>
      </c>
      <c r="F8" s="22">
        <f>D8-E8</f>
        <v/>
      </c>
      <c r="G8" s="22">
        <f>G7+F8</f>
        <v/>
      </c>
    </row>
    <row r="9">
      <c r="A9" s="18" t="n">
        <v>5</v>
      </c>
      <c r="B9" s="19" t="n">
        <v>0</v>
      </c>
      <c r="C9" s="18">
        <f>'Fórmulas'!$B$15</f>
        <v/>
      </c>
      <c r="D9" s="22">
        <f>B9*'Fórmulas'!$B$4*'Fórmulas'!$B$8</f>
        <v/>
      </c>
      <c r="E9" s="22">
        <f>C9*'Fórmulas'!$B$4</f>
        <v/>
      </c>
      <c r="F9" s="22">
        <f>D9-E9</f>
        <v/>
      </c>
      <c r="G9" s="22">
        <f>G8+F9</f>
        <v/>
      </c>
    </row>
    <row r="10">
      <c r="A10" s="18" t="n">
        <v>6</v>
      </c>
      <c r="B10" s="19" t="n">
        <v>3</v>
      </c>
      <c r="C10" s="18">
        <f>'Fórmulas'!$B$15</f>
        <v/>
      </c>
      <c r="D10" s="22">
        <f>B10*'Fórmulas'!$B$4*'Fórmulas'!$B$8</f>
        <v/>
      </c>
      <c r="E10" s="22">
        <f>C10*'Fórmulas'!$B$4</f>
        <v/>
      </c>
      <c r="F10" s="22">
        <f>D10-E10</f>
        <v/>
      </c>
      <c r="G10" s="22">
        <f>G9+F10</f>
        <v/>
      </c>
    </row>
    <row r="11">
      <c r="A11" s="18" t="n">
        <v>7</v>
      </c>
      <c r="B11" s="19" t="n">
        <v>2</v>
      </c>
      <c r="C11" s="18">
        <f>'Fórmulas'!$B$15</f>
        <v/>
      </c>
      <c r="D11" s="22">
        <f>B11*'Fórmulas'!$B$4*'Fórmulas'!$B$8</f>
        <v/>
      </c>
      <c r="E11" s="22">
        <f>C11*'Fórmulas'!$B$4</f>
        <v/>
      </c>
      <c r="F11" s="22">
        <f>D11-E11</f>
        <v/>
      </c>
      <c r="G11" s="22">
        <f>G10+F11</f>
        <v/>
      </c>
    </row>
    <row r="12">
      <c r="A12" s="18" t="n">
        <v>8</v>
      </c>
      <c r="B12" s="19" t="n">
        <v>2</v>
      </c>
      <c r="C12" s="18">
        <f>'Fórmulas'!$B$15</f>
        <v/>
      </c>
      <c r="D12" s="22">
        <f>B12*'Fórmulas'!$B$4*'Fórmulas'!$B$8</f>
        <v/>
      </c>
      <c r="E12" s="22">
        <f>C12*'Fórmulas'!$B$4</f>
        <v/>
      </c>
      <c r="F12" s="22">
        <f>D12-E12</f>
        <v/>
      </c>
      <c r="G12" s="22">
        <f>G11+F12</f>
        <v/>
      </c>
    </row>
    <row r="13">
      <c r="A13" s="18" t="n">
        <v>9</v>
      </c>
      <c r="B13" s="19" t="n">
        <v>0</v>
      </c>
      <c r="C13" s="18">
        <f>'Fórmulas'!$B$15</f>
        <v/>
      </c>
      <c r="D13" s="22">
        <f>B13*'Fórmulas'!$B$4*'Fórmulas'!$B$8</f>
        <v/>
      </c>
      <c r="E13" s="22">
        <f>C13*'Fórmulas'!$B$4</f>
        <v/>
      </c>
      <c r="F13" s="22">
        <f>D13-E13</f>
        <v/>
      </c>
      <c r="G13" s="22">
        <f>G12+F13</f>
        <v/>
      </c>
    </row>
    <row r="14">
      <c r="A14" s="18" t="n">
        <v>10</v>
      </c>
      <c r="B14" s="19" t="n">
        <v>1</v>
      </c>
      <c r="C14" s="18">
        <f>'Fórmulas'!$B$15</f>
        <v/>
      </c>
      <c r="D14" s="22">
        <f>B14*'Fórmulas'!$B$4*'Fórmulas'!$B$8</f>
        <v/>
      </c>
      <c r="E14" s="22">
        <f>C14*'Fórmulas'!$B$4</f>
        <v/>
      </c>
      <c r="F14" s="22">
        <f>D14-E14</f>
        <v/>
      </c>
      <c r="G14" s="22">
        <f>G13+F14</f>
        <v/>
      </c>
    </row>
    <row r="15">
      <c r="A15" s="18" t="n">
        <v>11</v>
      </c>
      <c r="B15" s="19" t="n">
        <v>1</v>
      </c>
      <c r="C15" s="18">
        <f>'Fórmulas'!$B$15</f>
        <v/>
      </c>
      <c r="D15" s="22">
        <f>B15*'Fórmulas'!$B$4*'Fórmulas'!$B$8</f>
        <v/>
      </c>
      <c r="E15" s="22">
        <f>C15*'Fórmulas'!$B$4</f>
        <v/>
      </c>
      <c r="F15" s="22">
        <f>D15-E15</f>
        <v/>
      </c>
      <c r="G15" s="22">
        <f>G14+F15</f>
        <v/>
      </c>
    </row>
    <row r="16">
      <c r="A16" s="18" t="n">
        <v>12</v>
      </c>
      <c r="B16" s="19" t="n">
        <v>3</v>
      </c>
      <c r="C16" s="18">
        <f>'Fórmulas'!$B$15</f>
        <v/>
      </c>
      <c r="D16" s="22">
        <f>B16*'Fórmulas'!$B$4*'Fórmulas'!$B$8</f>
        <v/>
      </c>
      <c r="E16" s="22">
        <f>C16*'Fórmulas'!$B$4</f>
        <v/>
      </c>
      <c r="F16" s="22">
        <f>D16-E16</f>
        <v/>
      </c>
      <c r="G16" s="22">
        <f>G15+F16</f>
        <v/>
      </c>
    </row>
    <row r="17">
      <c r="A17" s="18" t="n">
        <v>13</v>
      </c>
      <c r="B17" s="19" t="n">
        <v>2</v>
      </c>
      <c r="C17" s="18">
        <f>'Fórmulas'!$B$15</f>
        <v/>
      </c>
      <c r="D17" s="22">
        <f>B17*'Fórmulas'!$B$4*'Fórmulas'!$B$8</f>
        <v/>
      </c>
      <c r="E17" s="22">
        <f>C17*'Fórmulas'!$B$4</f>
        <v/>
      </c>
      <c r="F17" s="22">
        <f>D17-E17</f>
        <v/>
      </c>
      <c r="G17" s="22">
        <f>G16+F17</f>
        <v/>
      </c>
    </row>
    <row r="18">
      <c r="A18" s="18" t="n">
        <v>14</v>
      </c>
      <c r="B18" s="19" t="n">
        <v>2</v>
      </c>
      <c r="C18" s="18">
        <f>'Fórmulas'!$B$15</f>
        <v/>
      </c>
      <c r="D18" s="22">
        <f>B18*'Fórmulas'!$B$4*'Fórmulas'!$B$8</f>
        <v/>
      </c>
      <c r="E18" s="22">
        <f>C18*'Fórmulas'!$B$4</f>
        <v/>
      </c>
      <c r="F18" s="22">
        <f>D18-E18</f>
        <v/>
      </c>
      <c r="G18" s="22">
        <f>G17+F18</f>
        <v/>
      </c>
    </row>
    <row r="19">
      <c r="A19" s="18" t="n">
        <v>15</v>
      </c>
      <c r="B19" s="19" t="n">
        <v>1</v>
      </c>
      <c r="C19" s="18">
        <f>'Fórmulas'!$B$15</f>
        <v/>
      </c>
      <c r="D19" s="22">
        <f>B19*'Fórmulas'!$B$4*'Fórmulas'!$B$8</f>
        <v/>
      </c>
      <c r="E19" s="22">
        <f>C19*'Fórmulas'!$B$4</f>
        <v/>
      </c>
      <c r="F19" s="22">
        <f>D19-E19</f>
        <v/>
      </c>
      <c r="G19" s="22">
        <f>G18+F19</f>
        <v/>
      </c>
    </row>
    <row r="20">
      <c r="A20" s="18" t="n">
        <v>16</v>
      </c>
      <c r="B20" s="19" t="n">
        <v>1</v>
      </c>
      <c r="C20" s="18">
        <f>'Fórmulas'!$B$15</f>
        <v/>
      </c>
      <c r="D20" s="22">
        <f>B20*'Fórmulas'!$B$4*'Fórmulas'!$B$8</f>
        <v/>
      </c>
      <c r="E20" s="22">
        <f>C20*'Fórmulas'!$B$4</f>
        <v/>
      </c>
      <c r="F20" s="22">
        <f>D20-E20</f>
        <v/>
      </c>
      <c r="G20" s="22">
        <f>G19+F20</f>
        <v/>
      </c>
    </row>
    <row r="21">
      <c r="A21" s="18" t="n">
        <v>17</v>
      </c>
      <c r="B21" s="19" t="n">
        <v>2</v>
      </c>
      <c r="C21" s="18">
        <f>'Fórmulas'!$B$15</f>
        <v/>
      </c>
      <c r="D21" s="22">
        <f>B21*'Fórmulas'!$B$4*'Fórmulas'!$B$8</f>
        <v/>
      </c>
      <c r="E21" s="22">
        <f>C21*'Fórmulas'!$B$4</f>
        <v/>
      </c>
      <c r="F21" s="22">
        <f>D21-E21</f>
        <v/>
      </c>
      <c r="G21" s="22">
        <f>G20+F21</f>
        <v/>
      </c>
    </row>
    <row r="22">
      <c r="A22" s="18" t="n">
        <v>18</v>
      </c>
      <c r="B22" s="19" t="n">
        <v>0</v>
      </c>
      <c r="C22" s="18">
        <f>'Fórmulas'!$B$15</f>
        <v/>
      </c>
      <c r="D22" s="22">
        <f>B22*'Fórmulas'!$B$4*'Fórmulas'!$B$8</f>
        <v/>
      </c>
      <c r="E22" s="22">
        <f>C22*'Fórmulas'!$B$4</f>
        <v/>
      </c>
      <c r="F22" s="22">
        <f>D22-E22</f>
        <v/>
      </c>
      <c r="G22" s="22">
        <f>G21+F22</f>
        <v/>
      </c>
    </row>
    <row r="23">
      <c r="A23" s="18" t="n">
        <v>19</v>
      </c>
      <c r="B23" s="19" t="n">
        <v>2</v>
      </c>
      <c r="C23" s="18">
        <f>'Fórmulas'!$B$15</f>
        <v/>
      </c>
      <c r="D23" s="22">
        <f>B23*'Fórmulas'!$B$4*'Fórmulas'!$B$8</f>
        <v/>
      </c>
      <c r="E23" s="22">
        <f>C23*'Fórmulas'!$B$4</f>
        <v/>
      </c>
      <c r="F23" s="22">
        <f>D23-E23</f>
        <v/>
      </c>
      <c r="G23" s="22">
        <f>G22+F23</f>
        <v/>
      </c>
    </row>
    <row r="24">
      <c r="A24" s="18" t="n">
        <v>20</v>
      </c>
      <c r="B24" s="19" t="n">
        <v>2</v>
      </c>
      <c r="C24" s="18">
        <f>'Fórmulas'!$B$15</f>
        <v/>
      </c>
      <c r="D24" s="22">
        <f>B24*'Fórmulas'!$B$4*'Fórmulas'!$B$8</f>
        <v/>
      </c>
      <c r="E24" s="22">
        <f>C24*'Fórmulas'!$B$4</f>
        <v/>
      </c>
      <c r="F24" s="22">
        <f>D24-E24</f>
        <v/>
      </c>
      <c r="G24" s="22">
        <f>G23+F24</f>
        <v/>
      </c>
    </row>
    <row r="25">
      <c r="A25" s="18" t="n">
        <v>21</v>
      </c>
      <c r="B25" s="19" t="n">
        <v>2</v>
      </c>
      <c r="C25" s="18">
        <f>'Fórmulas'!$B$15</f>
        <v/>
      </c>
      <c r="D25" s="22">
        <f>B25*'Fórmulas'!$B$4*'Fórmulas'!$B$8</f>
        <v/>
      </c>
      <c r="E25" s="22">
        <f>C25*'Fórmulas'!$B$4</f>
        <v/>
      </c>
      <c r="F25" s="22">
        <f>D25-E25</f>
        <v/>
      </c>
      <c r="G25" s="22">
        <f>G24+F25</f>
        <v/>
      </c>
    </row>
    <row r="26">
      <c r="A26" s="18" t="n">
        <v>22</v>
      </c>
      <c r="B26" s="19" t="n">
        <v>1</v>
      </c>
      <c r="C26" s="18">
        <f>'Fórmulas'!$B$15</f>
        <v/>
      </c>
      <c r="D26" s="22">
        <f>B26*'Fórmulas'!$B$4*'Fórmulas'!$B$8</f>
        <v/>
      </c>
      <c r="E26" s="22">
        <f>C26*'Fórmulas'!$B$4</f>
        <v/>
      </c>
      <c r="F26" s="22">
        <f>D26-E26</f>
        <v/>
      </c>
      <c r="G26" s="22">
        <f>G25+F26</f>
        <v/>
      </c>
    </row>
    <row r="27">
      <c r="A27" s="18" t="n">
        <v>23</v>
      </c>
      <c r="B27" s="19" t="n">
        <v>3</v>
      </c>
      <c r="C27" s="18">
        <f>'Fórmulas'!$B$15</f>
        <v/>
      </c>
      <c r="D27" s="22">
        <f>B27*'Fórmulas'!$B$4*'Fórmulas'!$B$8</f>
        <v/>
      </c>
      <c r="E27" s="22">
        <f>C27*'Fórmulas'!$B$4</f>
        <v/>
      </c>
      <c r="F27" s="22">
        <f>D27-E27</f>
        <v/>
      </c>
      <c r="G27" s="22">
        <f>G26+F27</f>
        <v/>
      </c>
    </row>
    <row r="28">
      <c r="A28" s="18" t="n">
        <v>24</v>
      </c>
      <c r="B28" s="19" t="n">
        <v>2</v>
      </c>
      <c r="C28" s="18">
        <f>'Fórmulas'!$B$15</f>
        <v/>
      </c>
      <c r="D28" s="22">
        <f>B28*'Fórmulas'!$B$4*'Fórmulas'!$B$8</f>
        <v/>
      </c>
      <c r="E28" s="22">
        <f>C28*'Fórmulas'!$B$4</f>
        <v/>
      </c>
      <c r="F28" s="22">
        <f>D28-E28</f>
        <v/>
      </c>
      <c r="G28" s="22">
        <f>G27+F28</f>
        <v/>
      </c>
    </row>
    <row r="29">
      <c r="A29" s="18" t="n">
        <v>25</v>
      </c>
      <c r="B29" s="19" t="n">
        <v>2</v>
      </c>
      <c r="C29" s="18">
        <f>'Fórmulas'!$B$15</f>
        <v/>
      </c>
      <c r="D29" s="22">
        <f>B29*'Fórmulas'!$B$4*'Fórmulas'!$B$8</f>
        <v/>
      </c>
      <c r="E29" s="22">
        <f>C29*'Fórmulas'!$B$4</f>
        <v/>
      </c>
      <c r="F29" s="22">
        <f>D29-E29</f>
        <v/>
      </c>
      <c r="G29" s="22">
        <f>G28+F29</f>
        <v/>
      </c>
    </row>
    <row r="30">
      <c r="A30" s="18" t="n">
        <v>26</v>
      </c>
      <c r="B30" s="19" t="n">
        <v>1</v>
      </c>
      <c r="C30" s="18">
        <f>'Fórmulas'!$B$15</f>
        <v/>
      </c>
      <c r="D30" s="22">
        <f>B30*'Fórmulas'!$B$4*'Fórmulas'!$B$8</f>
        <v/>
      </c>
      <c r="E30" s="22">
        <f>C30*'Fórmulas'!$B$4</f>
        <v/>
      </c>
      <c r="F30" s="22">
        <f>D30-E30</f>
        <v/>
      </c>
      <c r="G30" s="22">
        <f>G29+F30</f>
        <v/>
      </c>
    </row>
    <row r="31">
      <c r="A31" s="18" t="n">
        <v>27</v>
      </c>
      <c r="B31" s="19" t="n">
        <v>1</v>
      </c>
      <c r="C31" s="18">
        <f>'Fórmulas'!$B$15</f>
        <v/>
      </c>
      <c r="D31" s="22">
        <f>B31*'Fórmulas'!$B$4*'Fórmulas'!$B$8</f>
        <v/>
      </c>
      <c r="E31" s="22">
        <f>C31*'Fórmulas'!$B$4</f>
        <v/>
      </c>
      <c r="F31" s="22">
        <f>D31-E31</f>
        <v/>
      </c>
      <c r="G31" s="22">
        <f>G30+F31</f>
        <v/>
      </c>
    </row>
    <row r="32">
      <c r="A32" s="18" t="n">
        <v>28</v>
      </c>
      <c r="B32" s="19" t="n">
        <v>0</v>
      </c>
      <c r="C32" s="18">
        <f>'Fórmulas'!$B$15</f>
        <v/>
      </c>
      <c r="D32" s="22">
        <f>B32*'Fórmulas'!$B$4*'Fórmulas'!$B$8</f>
        <v/>
      </c>
      <c r="E32" s="22">
        <f>C32*'Fórmulas'!$B$4</f>
        <v/>
      </c>
      <c r="F32" s="22">
        <f>D32-E32</f>
        <v/>
      </c>
      <c r="G32" s="22">
        <f>G31+F32</f>
        <v/>
      </c>
    </row>
    <row r="33">
      <c r="A33" s="18" t="n">
        <v>29</v>
      </c>
      <c r="B33" s="19" t="n">
        <v>1</v>
      </c>
      <c r="C33" s="18">
        <f>'Fórmulas'!$B$15</f>
        <v/>
      </c>
      <c r="D33" s="22">
        <f>B33*'Fórmulas'!$B$4*'Fórmulas'!$B$8</f>
        <v/>
      </c>
      <c r="E33" s="22">
        <f>C33*'Fórmulas'!$B$4</f>
        <v/>
      </c>
      <c r="F33" s="22">
        <f>D33-E33</f>
        <v/>
      </c>
      <c r="G33" s="22">
        <f>G32+F33</f>
        <v/>
      </c>
    </row>
    <row r="34">
      <c r="A34" s="18" t="n">
        <v>30</v>
      </c>
      <c r="B34" s="19" t="n">
        <v>2</v>
      </c>
      <c r="C34" s="18">
        <f>'Fórmulas'!$B$15</f>
        <v/>
      </c>
      <c r="D34" s="22">
        <f>B34*'Fórmulas'!$B$4*'Fórmulas'!$B$8</f>
        <v/>
      </c>
      <c r="E34" s="22">
        <f>C34*'Fórmulas'!$B$4</f>
        <v/>
      </c>
      <c r="F34" s="22">
        <f>D34-E34</f>
        <v/>
      </c>
      <c r="G34" s="22">
        <f>G33+F34</f>
        <v/>
      </c>
    </row>
    <row r="35">
      <c r="A35" s="18" t="n">
        <v>31</v>
      </c>
      <c r="B35" s="19" t="n">
        <v>2</v>
      </c>
      <c r="C35" s="18">
        <f>'Fórmulas'!$B$15</f>
        <v/>
      </c>
      <c r="D35" s="22">
        <f>B35*'Fórmulas'!$B$4*'Fórmulas'!$B$8</f>
        <v/>
      </c>
      <c r="E35" s="22">
        <f>C35*'Fórmulas'!$B$4</f>
        <v/>
      </c>
      <c r="F35" s="22">
        <f>D35-E35</f>
        <v/>
      </c>
      <c r="G35" s="22">
        <f>G34+F35</f>
        <v/>
      </c>
    </row>
    <row r="36">
      <c r="A36" s="18" t="n">
        <v>32</v>
      </c>
      <c r="B36" s="19" t="n">
        <v>3</v>
      </c>
      <c r="C36" s="18">
        <f>'Fórmulas'!$B$15</f>
        <v/>
      </c>
      <c r="D36" s="22">
        <f>B36*'Fórmulas'!$B$4*'Fórmulas'!$B$8</f>
        <v/>
      </c>
      <c r="E36" s="22">
        <f>C36*'Fórmulas'!$B$4</f>
        <v/>
      </c>
      <c r="F36" s="22">
        <f>D36-E36</f>
        <v/>
      </c>
      <c r="G36" s="22">
        <f>G35+F36</f>
        <v/>
      </c>
    </row>
    <row r="37">
      <c r="A37" s="18" t="n">
        <v>33</v>
      </c>
      <c r="B37" s="19" t="n">
        <v>1</v>
      </c>
      <c r="C37" s="18">
        <f>'Fórmulas'!$B$15</f>
        <v/>
      </c>
      <c r="D37" s="22">
        <f>B37*'Fórmulas'!$B$4*'Fórmulas'!$B$8</f>
        <v/>
      </c>
      <c r="E37" s="22">
        <f>C37*'Fórmulas'!$B$4</f>
        <v/>
      </c>
      <c r="F37" s="22">
        <f>D37-E37</f>
        <v/>
      </c>
      <c r="G37" s="22">
        <f>G36+F37</f>
        <v/>
      </c>
    </row>
    <row r="38">
      <c r="A38" s="18" t="n">
        <v>34</v>
      </c>
      <c r="B38" s="19" t="n">
        <v>1</v>
      </c>
      <c r="C38" s="18">
        <f>'Fórmulas'!$B$15</f>
        <v/>
      </c>
      <c r="D38" s="22">
        <f>B38*'Fórmulas'!$B$4*'Fórmulas'!$B$8</f>
        <v/>
      </c>
      <c r="E38" s="22">
        <f>C38*'Fórmulas'!$B$4</f>
        <v/>
      </c>
      <c r="F38" s="22">
        <f>D38-E38</f>
        <v/>
      </c>
      <c r="G38" s="22">
        <f>G37+F38</f>
        <v/>
      </c>
    </row>
    <row r="39">
      <c r="A39" s="18" t="n">
        <v>35</v>
      </c>
      <c r="B39" s="19" t="n">
        <v>1</v>
      </c>
      <c r="C39" s="18">
        <f>'Fórmulas'!$B$15</f>
        <v/>
      </c>
      <c r="D39" s="22">
        <f>B39*'Fórmulas'!$B$4*'Fórmulas'!$B$8</f>
        <v/>
      </c>
      <c r="E39" s="22">
        <f>C39*'Fórmulas'!$B$4</f>
        <v/>
      </c>
      <c r="F39" s="22">
        <f>D39-E39</f>
        <v/>
      </c>
      <c r="G39" s="22">
        <f>G38+F39</f>
        <v/>
      </c>
    </row>
    <row r="40">
      <c r="A40" s="18" t="n">
        <v>36</v>
      </c>
      <c r="B40" s="19" t="n">
        <v>1</v>
      </c>
      <c r="C40" s="18">
        <f>'Fórmulas'!$B$15</f>
        <v/>
      </c>
      <c r="D40" s="22">
        <f>B40*'Fórmulas'!$B$4*'Fórmulas'!$B$8</f>
        <v/>
      </c>
      <c r="E40" s="22">
        <f>C40*'Fórmulas'!$B$4</f>
        <v/>
      </c>
      <c r="F40" s="22">
        <f>D40-E40</f>
        <v/>
      </c>
      <c r="G40" s="22">
        <f>G39+F40</f>
        <v/>
      </c>
    </row>
    <row r="41">
      <c r="A41" s="18" t="n">
        <v>37</v>
      </c>
      <c r="B41" s="19" t="n">
        <v>0</v>
      </c>
      <c r="C41" s="18">
        <f>'Fórmulas'!$B$15</f>
        <v/>
      </c>
      <c r="D41" s="22">
        <f>B41*'Fórmulas'!$B$4*'Fórmulas'!$B$8</f>
        <v/>
      </c>
      <c r="E41" s="22">
        <f>C41*'Fórmulas'!$B$4</f>
        <v/>
      </c>
      <c r="F41" s="22">
        <f>D41-E41</f>
        <v/>
      </c>
      <c r="G41" s="22">
        <f>G40+F41</f>
        <v/>
      </c>
    </row>
    <row r="42">
      <c r="A42" s="18" t="n">
        <v>38</v>
      </c>
      <c r="B42" s="19" t="n">
        <v>1</v>
      </c>
      <c r="C42" s="18">
        <f>'Fórmulas'!$B$15</f>
        <v/>
      </c>
      <c r="D42" s="22">
        <f>B42*'Fórmulas'!$B$4*'Fórmulas'!$B$8</f>
        <v/>
      </c>
      <c r="E42" s="22">
        <f>C42*'Fórmulas'!$B$4</f>
        <v/>
      </c>
      <c r="F42" s="22">
        <f>D42-E42</f>
        <v/>
      </c>
      <c r="G42" s="22">
        <f>G41+F42</f>
        <v/>
      </c>
    </row>
    <row r="43">
      <c r="A43" s="18" t="n">
        <v>39</v>
      </c>
      <c r="B43" s="19" t="n">
        <v>1</v>
      </c>
      <c r="C43" s="18">
        <f>'Fórmulas'!$B$15</f>
        <v/>
      </c>
      <c r="D43" s="22">
        <f>B43*'Fórmulas'!$B$4*'Fórmulas'!$B$8</f>
        <v/>
      </c>
      <c r="E43" s="22">
        <f>C43*'Fórmulas'!$B$4</f>
        <v/>
      </c>
      <c r="F43" s="22">
        <f>D43-E43</f>
        <v/>
      </c>
      <c r="G43" s="22">
        <f>G42+F43</f>
        <v/>
      </c>
    </row>
    <row r="44">
      <c r="A44" s="18" t="n">
        <v>40</v>
      </c>
      <c r="B44" s="19" t="n">
        <v>2</v>
      </c>
      <c r="C44" s="18">
        <f>'Fórmulas'!$B$15</f>
        <v/>
      </c>
      <c r="D44" s="22">
        <f>B44*'Fórmulas'!$B$4*'Fórmulas'!$B$8</f>
        <v/>
      </c>
      <c r="E44" s="22">
        <f>C44*'Fórmulas'!$B$4</f>
        <v/>
      </c>
      <c r="F44" s="22">
        <f>D44-E44</f>
        <v/>
      </c>
      <c r="G44" s="22">
        <f>G43+F44</f>
        <v/>
      </c>
    </row>
    <row r="45">
      <c r="A45" s="18" t="n">
        <v>41</v>
      </c>
      <c r="B45" s="19" t="n">
        <v>1</v>
      </c>
      <c r="C45" s="18">
        <f>'Fórmulas'!$B$15</f>
        <v/>
      </c>
      <c r="D45" s="22">
        <f>B45*'Fórmulas'!$B$4*'Fórmulas'!$B$8</f>
        <v/>
      </c>
      <c r="E45" s="22">
        <f>C45*'Fórmulas'!$B$4</f>
        <v/>
      </c>
      <c r="F45" s="22">
        <f>D45-E45</f>
        <v/>
      </c>
      <c r="G45" s="22">
        <f>G44+F45</f>
        <v/>
      </c>
    </row>
    <row r="46">
      <c r="A46" s="18" t="n">
        <v>42</v>
      </c>
      <c r="B46" s="19" t="n">
        <v>2</v>
      </c>
      <c r="C46" s="18">
        <f>'Fórmulas'!$B$15</f>
        <v/>
      </c>
      <c r="D46" s="22">
        <f>B46*'Fórmulas'!$B$4*'Fórmulas'!$B$8</f>
        <v/>
      </c>
      <c r="E46" s="22">
        <f>C46*'Fórmulas'!$B$4</f>
        <v/>
      </c>
      <c r="F46" s="22">
        <f>D46-E46</f>
        <v/>
      </c>
      <c r="G46" s="22">
        <f>G45+F46</f>
        <v/>
      </c>
    </row>
    <row r="47">
      <c r="A47" s="18" t="n">
        <v>43</v>
      </c>
      <c r="B47" s="19" t="n">
        <v>2</v>
      </c>
      <c r="C47" s="18">
        <f>'Fórmulas'!$B$15</f>
        <v/>
      </c>
      <c r="D47" s="22">
        <f>B47*'Fórmulas'!$B$4*'Fórmulas'!$B$8</f>
        <v/>
      </c>
      <c r="E47" s="22">
        <f>C47*'Fórmulas'!$B$4</f>
        <v/>
      </c>
      <c r="F47" s="22">
        <f>D47-E47</f>
        <v/>
      </c>
      <c r="G47" s="22">
        <f>G46+F47</f>
        <v/>
      </c>
    </row>
    <row r="48">
      <c r="A48" s="18" t="n">
        <v>44</v>
      </c>
      <c r="B48" s="19" t="n">
        <v>1</v>
      </c>
      <c r="C48" s="18">
        <f>'Fórmulas'!$B$15</f>
        <v/>
      </c>
      <c r="D48" s="22">
        <f>B48*'Fórmulas'!$B$4*'Fórmulas'!$B$8</f>
        <v/>
      </c>
      <c r="E48" s="22">
        <f>C48*'Fórmulas'!$B$4</f>
        <v/>
      </c>
      <c r="F48" s="22">
        <f>D48-E48</f>
        <v/>
      </c>
      <c r="G48" s="22">
        <f>G47+F48</f>
        <v/>
      </c>
    </row>
    <row r="49">
      <c r="A49" s="18" t="n">
        <v>45</v>
      </c>
      <c r="B49" s="19" t="n">
        <v>2</v>
      </c>
      <c r="C49" s="18">
        <f>'Fórmulas'!$B$15</f>
        <v/>
      </c>
      <c r="D49" s="22">
        <f>B49*'Fórmulas'!$B$4*'Fórmulas'!$B$8</f>
        <v/>
      </c>
      <c r="E49" s="22">
        <f>C49*'Fórmulas'!$B$4</f>
        <v/>
      </c>
      <c r="F49" s="22">
        <f>D49-E49</f>
        <v/>
      </c>
      <c r="G49" s="22">
        <f>G48+F49</f>
        <v/>
      </c>
    </row>
    <row r="50">
      <c r="A50" s="18" t="n">
        <v>46</v>
      </c>
      <c r="B50" s="19" t="n">
        <v>2</v>
      </c>
      <c r="C50" s="18">
        <f>'Fórmulas'!$B$15</f>
        <v/>
      </c>
      <c r="D50" s="22">
        <f>B50*'Fórmulas'!$B$4*'Fórmulas'!$B$8</f>
        <v/>
      </c>
      <c r="E50" s="22">
        <f>C50*'Fórmulas'!$B$4</f>
        <v/>
      </c>
      <c r="F50" s="22">
        <f>D50-E50</f>
        <v/>
      </c>
      <c r="G50" s="22">
        <f>G49+F50</f>
        <v/>
      </c>
    </row>
    <row r="51">
      <c r="A51" s="18" t="n">
        <v>47</v>
      </c>
      <c r="B51" s="19" t="n">
        <v>1</v>
      </c>
      <c r="C51" s="18">
        <f>'Fórmulas'!$B$15</f>
        <v/>
      </c>
      <c r="D51" s="22">
        <f>B51*'Fórmulas'!$B$4*'Fórmulas'!$B$8</f>
        <v/>
      </c>
      <c r="E51" s="22">
        <f>C51*'Fórmulas'!$B$4</f>
        <v/>
      </c>
      <c r="F51" s="22">
        <f>D51-E51</f>
        <v/>
      </c>
      <c r="G51" s="22">
        <f>G50+F51</f>
        <v/>
      </c>
    </row>
    <row r="52">
      <c r="A52" s="18" t="n">
        <v>48</v>
      </c>
      <c r="B52" s="19" t="n">
        <v>1</v>
      </c>
      <c r="C52" s="18">
        <f>'Fórmulas'!$B$15</f>
        <v/>
      </c>
      <c r="D52" s="22">
        <f>B52*'Fórmulas'!$B$4*'Fórmulas'!$B$8</f>
        <v/>
      </c>
      <c r="E52" s="22">
        <f>C52*'Fórmulas'!$B$4</f>
        <v/>
      </c>
      <c r="F52" s="22">
        <f>D52-E52</f>
        <v/>
      </c>
      <c r="G52" s="22">
        <f>G51+F52</f>
        <v/>
      </c>
    </row>
    <row r="53">
      <c r="A53" s="18" t="n">
        <v>49</v>
      </c>
      <c r="B53" s="19" t="n">
        <v>2</v>
      </c>
      <c r="C53" s="18">
        <f>'Fórmulas'!$B$15</f>
        <v/>
      </c>
      <c r="D53" s="22">
        <f>B53*'Fórmulas'!$B$4*'Fórmulas'!$B$8</f>
        <v/>
      </c>
      <c r="E53" s="22">
        <f>C53*'Fórmulas'!$B$4</f>
        <v/>
      </c>
      <c r="F53" s="22">
        <f>D53-E53</f>
        <v/>
      </c>
      <c r="G53" s="22">
        <f>G52+F53</f>
        <v/>
      </c>
    </row>
    <row r="54">
      <c r="A54" s="18" t="n">
        <v>50</v>
      </c>
      <c r="B54" s="19" t="n">
        <v>0</v>
      </c>
      <c r="C54" s="18">
        <f>'Fórmulas'!$B$15</f>
        <v/>
      </c>
      <c r="D54" s="22">
        <f>B54*'Fórmulas'!$B$4*'Fórmulas'!$B$8</f>
        <v/>
      </c>
      <c r="E54" s="22">
        <f>C54*'Fórmulas'!$B$4</f>
        <v/>
      </c>
      <c r="F54" s="22">
        <f>D54-E54</f>
        <v/>
      </c>
      <c r="G54" s="22">
        <f>G53+F54</f>
        <v/>
      </c>
    </row>
    <row r="55">
      <c r="A55" s="18" t="n">
        <v>51</v>
      </c>
      <c r="B55" s="19" t="n">
        <v>1</v>
      </c>
      <c r="C55" s="18">
        <f>'Fórmulas'!$B$15</f>
        <v/>
      </c>
      <c r="D55" s="22">
        <f>B55*'Fórmulas'!$B$4*'Fórmulas'!$B$8</f>
        <v/>
      </c>
      <c r="E55" s="22">
        <f>C55*'Fórmulas'!$B$4</f>
        <v/>
      </c>
      <c r="F55" s="22">
        <f>D55-E55</f>
        <v/>
      </c>
      <c r="G55" s="22">
        <f>G54+F55</f>
        <v/>
      </c>
    </row>
    <row r="56">
      <c r="A56" s="18" t="n">
        <v>52</v>
      </c>
      <c r="B56" s="19" t="n">
        <v>0</v>
      </c>
      <c r="C56" s="18">
        <f>'Fórmulas'!$B$15</f>
        <v/>
      </c>
      <c r="D56" s="22">
        <f>B56*'Fórmulas'!$B$4*'Fórmulas'!$B$8</f>
        <v/>
      </c>
      <c r="E56" s="22">
        <f>C56*'Fórmulas'!$B$4</f>
        <v/>
      </c>
      <c r="F56" s="22">
        <f>D56-E56</f>
        <v/>
      </c>
      <c r="G56" s="22">
        <f>G55+F56</f>
        <v/>
      </c>
    </row>
    <row r="57">
      <c r="A57" s="18" t="n">
        <v>53</v>
      </c>
      <c r="B57" s="19" t="n">
        <v>2</v>
      </c>
      <c r="C57" s="18">
        <f>'Fórmulas'!$B$15</f>
        <v/>
      </c>
      <c r="D57" s="22">
        <f>B57*'Fórmulas'!$B$4*'Fórmulas'!$B$8</f>
        <v/>
      </c>
      <c r="E57" s="22">
        <f>C57*'Fórmulas'!$B$4</f>
        <v/>
      </c>
      <c r="F57" s="22">
        <f>D57-E57</f>
        <v/>
      </c>
      <c r="G57" s="22">
        <f>G56+F57</f>
        <v/>
      </c>
    </row>
    <row r="58">
      <c r="A58" s="18" t="n">
        <v>54</v>
      </c>
      <c r="B58" s="19" t="n">
        <v>2</v>
      </c>
      <c r="C58" s="18">
        <f>'Fórmulas'!$B$15</f>
        <v/>
      </c>
      <c r="D58" s="22">
        <f>B58*'Fórmulas'!$B$4*'Fórmulas'!$B$8</f>
        <v/>
      </c>
      <c r="E58" s="22">
        <f>C58*'Fórmulas'!$B$4</f>
        <v/>
      </c>
      <c r="F58" s="22">
        <f>D58-E58</f>
        <v/>
      </c>
      <c r="G58" s="22">
        <f>G57+F58</f>
        <v/>
      </c>
    </row>
    <row r="59">
      <c r="A59" s="18" t="n">
        <v>55</v>
      </c>
      <c r="B59" s="19" t="n">
        <v>2</v>
      </c>
      <c r="C59" s="18">
        <f>'Fórmulas'!$B$15</f>
        <v/>
      </c>
      <c r="D59" s="22">
        <f>B59*'Fórmulas'!$B$4*'Fórmulas'!$B$8</f>
        <v/>
      </c>
      <c r="E59" s="22">
        <f>C59*'Fórmulas'!$B$4</f>
        <v/>
      </c>
      <c r="F59" s="22">
        <f>D59-E59</f>
        <v/>
      </c>
      <c r="G59" s="22">
        <f>G58+F59</f>
        <v/>
      </c>
    </row>
    <row r="60">
      <c r="A60" s="18" t="n">
        <v>56</v>
      </c>
      <c r="B60" s="19" t="n">
        <v>2</v>
      </c>
      <c r="C60" s="18">
        <f>'Fórmulas'!$B$15</f>
        <v/>
      </c>
      <c r="D60" s="22">
        <f>B60*'Fórmulas'!$B$4*'Fórmulas'!$B$8</f>
        <v/>
      </c>
      <c r="E60" s="22">
        <f>C60*'Fórmulas'!$B$4</f>
        <v/>
      </c>
      <c r="F60" s="22">
        <f>D60-E60</f>
        <v/>
      </c>
      <c r="G60" s="22">
        <f>G59+F60</f>
        <v/>
      </c>
    </row>
    <row r="61">
      <c r="A61" s="18" t="n">
        <v>57</v>
      </c>
      <c r="B61" s="19" t="n">
        <v>1</v>
      </c>
      <c r="C61" s="18">
        <f>'Fórmulas'!$B$15</f>
        <v/>
      </c>
      <c r="D61" s="22">
        <f>B61*'Fórmulas'!$B$4*'Fórmulas'!$B$8</f>
        <v/>
      </c>
      <c r="E61" s="22">
        <f>C61*'Fórmulas'!$B$4</f>
        <v/>
      </c>
      <c r="F61" s="22">
        <f>D61-E61</f>
        <v/>
      </c>
      <c r="G61" s="22">
        <f>G60+F61</f>
        <v/>
      </c>
    </row>
    <row r="62">
      <c r="A62" s="18" t="n">
        <v>58</v>
      </c>
      <c r="B62" s="19" t="n">
        <v>2</v>
      </c>
      <c r="C62" s="18">
        <f>'Fórmulas'!$B$15</f>
        <v/>
      </c>
      <c r="D62" s="22">
        <f>B62*'Fórmulas'!$B$4*'Fórmulas'!$B$8</f>
        <v/>
      </c>
      <c r="E62" s="22">
        <f>C62*'Fórmulas'!$B$4</f>
        <v/>
      </c>
      <c r="F62" s="22">
        <f>D62-E62</f>
        <v/>
      </c>
      <c r="G62" s="22">
        <f>G61+F62</f>
        <v/>
      </c>
    </row>
    <row r="63">
      <c r="A63" s="18" t="n">
        <v>59</v>
      </c>
      <c r="B63" s="19" t="n">
        <v>0</v>
      </c>
      <c r="C63" s="18">
        <f>'Fórmulas'!$B$15</f>
        <v/>
      </c>
      <c r="D63" s="22">
        <f>B63*'Fórmulas'!$B$4*'Fórmulas'!$B$8</f>
        <v/>
      </c>
      <c r="E63" s="22">
        <f>C63*'Fórmulas'!$B$4</f>
        <v/>
      </c>
      <c r="F63" s="22">
        <f>D63-E63</f>
        <v/>
      </c>
      <c r="G63" s="22">
        <f>G62+F63</f>
        <v/>
      </c>
    </row>
    <row r="64">
      <c r="A64" s="18" t="n">
        <v>60</v>
      </c>
      <c r="B64" s="19" t="n">
        <v>0</v>
      </c>
      <c r="C64" s="18">
        <f>'Fórmulas'!$B$15</f>
        <v/>
      </c>
      <c r="D64" s="22">
        <f>B64*'Fórmulas'!$B$4*'Fórmulas'!$B$8</f>
        <v/>
      </c>
      <c r="E64" s="22">
        <f>C64*'Fórmulas'!$B$4</f>
        <v/>
      </c>
      <c r="F64" s="22">
        <f>D64-E64</f>
        <v/>
      </c>
      <c r="G64" s="22">
        <f>G63+F64</f>
        <v/>
      </c>
    </row>
    <row r="65">
      <c r="A65" s="18" t="n">
        <v>61</v>
      </c>
      <c r="B65" s="19" t="n">
        <v>2</v>
      </c>
      <c r="C65" s="18">
        <f>'Fórmulas'!$B$15</f>
        <v/>
      </c>
      <c r="D65" s="22">
        <f>B65*'Fórmulas'!$B$4*'Fórmulas'!$B$8</f>
        <v/>
      </c>
      <c r="E65" s="22">
        <f>C65*'Fórmulas'!$B$4</f>
        <v/>
      </c>
      <c r="F65" s="22">
        <f>D65-E65</f>
        <v/>
      </c>
      <c r="G65" s="22">
        <f>G64+F65</f>
        <v/>
      </c>
    </row>
    <row r="66">
      <c r="A66" s="18" t="n">
        <v>62</v>
      </c>
      <c r="B66" s="19" t="n">
        <v>1</v>
      </c>
      <c r="C66" s="18">
        <f>'Fórmulas'!$B$15</f>
        <v/>
      </c>
      <c r="D66" s="22">
        <f>B66*'Fórmulas'!$B$4*'Fórmulas'!$B$8</f>
        <v/>
      </c>
      <c r="E66" s="22">
        <f>C66*'Fórmulas'!$B$4</f>
        <v/>
      </c>
      <c r="F66" s="22">
        <f>D66-E66</f>
        <v/>
      </c>
      <c r="G66" s="22">
        <f>G65+F66</f>
        <v/>
      </c>
    </row>
    <row r="67">
      <c r="A67" s="18" t="n">
        <v>63</v>
      </c>
      <c r="B67" s="19" t="n">
        <v>2</v>
      </c>
      <c r="C67" s="18">
        <f>'Fórmulas'!$B$15</f>
        <v/>
      </c>
      <c r="D67" s="22">
        <f>B67*'Fórmulas'!$B$4*'Fórmulas'!$B$8</f>
        <v/>
      </c>
      <c r="E67" s="22">
        <f>C67*'Fórmulas'!$B$4</f>
        <v/>
      </c>
      <c r="F67" s="22">
        <f>D67-E67</f>
        <v/>
      </c>
      <c r="G67" s="22">
        <f>G66+F67</f>
        <v/>
      </c>
    </row>
    <row r="68">
      <c r="A68" s="18" t="n">
        <v>64</v>
      </c>
      <c r="B68" s="19" t="n">
        <v>2</v>
      </c>
      <c r="C68" s="18">
        <f>'Fórmulas'!$B$15</f>
        <v/>
      </c>
      <c r="D68" s="22">
        <f>B68*'Fórmulas'!$B$4*'Fórmulas'!$B$8</f>
        <v/>
      </c>
      <c r="E68" s="22">
        <f>C68*'Fórmulas'!$B$4</f>
        <v/>
      </c>
      <c r="F68" s="22">
        <f>D68-E68</f>
        <v/>
      </c>
      <c r="G68" s="22">
        <f>G67+F68</f>
        <v/>
      </c>
    </row>
    <row r="69">
      <c r="A69" s="18" t="n">
        <v>65</v>
      </c>
      <c r="B69" s="19" t="n">
        <v>2</v>
      </c>
      <c r="C69" s="18">
        <f>'Fórmulas'!$B$15</f>
        <v/>
      </c>
      <c r="D69" s="22">
        <f>B69*'Fórmulas'!$B$4*'Fórmulas'!$B$8</f>
        <v/>
      </c>
      <c r="E69" s="22">
        <f>C69*'Fórmulas'!$B$4</f>
        <v/>
      </c>
      <c r="F69" s="22">
        <f>D69-E69</f>
        <v/>
      </c>
      <c r="G69" s="22">
        <f>G68+F69</f>
        <v/>
      </c>
    </row>
    <row r="70">
      <c r="A70" s="18" t="n">
        <v>66</v>
      </c>
      <c r="B70" s="19" t="n">
        <v>2</v>
      </c>
      <c r="C70" s="18">
        <f>'Fórmulas'!$B$15</f>
        <v/>
      </c>
      <c r="D70" s="22">
        <f>B70*'Fórmulas'!$B$4*'Fórmulas'!$B$8</f>
        <v/>
      </c>
      <c r="E70" s="22">
        <f>C70*'Fórmulas'!$B$4</f>
        <v/>
      </c>
      <c r="F70" s="22">
        <f>D70-E70</f>
        <v/>
      </c>
      <c r="G70" s="22">
        <f>G69+F70</f>
        <v/>
      </c>
    </row>
    <row r="71">
      <c r="A71" s="18" t="n">
        <v>67</v>
      </c>
      <c r="B71" s="19" t="n">
        <v>2</v>
      </c>
      <c r="C71" s="18">
        <f>'Fórmulas'!$B$15</f>
        <v/>
      </c>
      <c r="D71" s="22">
        <f>B71*'Fórmulas'!$B$4*'Fórmulas'!$B$8</f>
        <v/>
      </c>
      <c r="E71" s="22">
        <f>C71*'Fórmulas'!$B$4</f>
        <v/>
      </c>
      <c r="F71" s="22">
        <f>D71-E71</f>
        <v/>
      </c>
      <c r="G71" s="22">
        <f>G70+F71</f>
        <v/>
      </c>
    </row>
    <row r="72">
      <c r="A72" s="18" t="n">
        <v>68</v>
      </c>
      <c r="B72" s="19" t="n">
        <v>1</v>
      </c>
      <c r="C72" s="18">
        <f>'Fórmulas'!$B$15</f>
        <v/>
      </c>
      <c r="D72" s="22">
        <f>B72*'Fórmulas'!$B$4*'Fórmulas'!$B$8</f>
        <v/>
      </c>
      <c r="E72" s="22">
        <f>C72*'Fórmulas'!$B$4</f>
        <v/>
      </c>
      <c r="F72" s="22">
        <f>D72-E72</f>
        <v/>
      </c>
      <c r="G72" s="22">
        <f>G71+F72</f>
        <v/>
      </c>
    </row>
    <row r="73">
      <c r="A73" s="18" t="n">
        <v>69</v>
      </c>
      <c r="B73" s="19" t="n">
        <v>0</v>
      </c>
      <c r="C73" s="18">
        <f>'Fórmulas'!$B$15</f>
        <v/>
      </c>
      <c r="D73" s="22">
        <f>B73*'Fórmulas'!$B$4*'Fórmulas'!$B$8</f>
        <v/>
      </c>
      <c r="E73" s="22">
        <f>C73*'Fórmulas'!$B$4</f>
        <v/>
      </c>
      <c r="F73" s="22">
        <f>D73-E73</f>
        <v/>
      </c>
      <c r="G73" s="22">
        <f>G72+F73</f>
        <v/>
      </c>
    </row>
    <row r="74">
      <c r="A74" s="18" t="n">
        <v>70</v>
      </c>
      <c r="B74" s="19" t="n">
        <v>1</v>
      </c>
      <c r="C74" s="18">
        <f>'Fórmulas'!$B$15</f>
        <v/>
      </c>
      <c r="D74" s="22">
        <f>B74*'Fórmulas'!$B$4*'Fórmulas'!$B$8</f>
        <v/>
      </c>
      <c r="E74" s="22">
        <f>C74*'Fórmulas'!$B$4</f>
        <v/>
      </c>
      <c r="F74" s="22">
        <f>D74-E74</f>
        <v/>
      </c>
      <c r="G74" s="22">
        <f>G73+F74</f>
        <v/>
      </c>
    </row>
    <row r="75">
      <c r="A75" s="18" t="n">
        <v>71</v>
      </c>
      <c r="B75" s="19" t="n">
        <v>1</v>
      </c>
      <c r="C75" s="18">
        <f>'Fórmulas'!$B$15</f>
        <v/>
      </c>
      <c r="D75" s="22">
        <f>B75*'Fórmulas'!$B$4*'Fórmulas'!$B$8</f>
        <v/>
      </c>
      <c r="E75" s="22">
        <f>C75*'Fórmulas'!$B$4</f>
        <v/>
      </c>
      <c r="F75" s="22">
        <f>D75-E75</f>
        <v/>
      </c>
      <c r="G75" s="22">
        <f>G74+F75</f>
        <v/>
      </c>
    </row>
    <row r="76">
      <c r="A76" s="18" t="n">
        <v>72</v>
      </c>
      <c r="B76" s="19" t="n">
        <v>1</v>
      </c>
      <c r="C76" s="18">
        <f>'Fórmulas'!$B$15</f>
        <v/>
      </c>
      <c r="D76" s="22">
        <f>B76*'Fórmulas'!$B$4*'Fórmulas'!$B$8</f>
        <v/>
      </c>
      <c r="E76" s="22">
        <f>C76*'Fórmulas'!$B$4</f>
        <v/>
      </c>
      <c r="F76" s="22">
        <f>D76-E76</f>
        <v/>
      </c>
      <c r="G76" s="22">
        <f>G75+F76</f>
        <v/>
      </c>
    </row>
    <row r="77">
      <c r="A77" s="18" t="n">
        <v>73</v>
      </c>
      <c r="B77" s="19" t="n">
        <v>2</v>
      </c>
      <c r="C77" s="18">
        <f>'Fórmulas'!$B$15</f>
        <v/>
      </c>
      <c r="D77" s="22">
        <f>B77*'Fórmulas'!$B$4*'Fórmulas'!$B$8</f>
        <v/>
      </c>
      <c r="E77" s="22">
        <f>C77*'Fórmulas'!$B$4</f>
        <v/>
      </c>
      <c r="F77" s="22">
        <f>D77-E77</f>
        <v/>
      </c>
      <c r="G77" s="22">
        <f>G76+F77</f>
        <v/>
      </c>
    </row>
    <row r="78">
      <c r="A78" s="18" t="n">
        <v>74</v>
      </c>
      <c r="B78" s="19" t="n">
        <v>1</v>
      </c>
      <c r="C78" s="18">
        <f>'Fórmulas'!$B$15</f>
        <v/>
      </c>
      <c r="D78" s="22">
        <f>B78*'Fórmulas'!$B$4*'Fórmulas'!$B$8</f>
        <v/>
      </c>
      <c r="E78" s="22">
        <f>C78*'Fórmulas'!$B$4</f>
        <v/>
      </c>
      <c r="F78" s="22">
        <f>D78-E78</f>
        <v/>
      </c>
      <c r="G78" s="22">
        <f>G77+F78</f>
        <v/>
      </c>
    </row>
    <row r="79">
      <c r="A79" s="18" t="n">
        <v>75</v>
      </c>
      <c r="B79" s="19" t="n">
        <v>0</v>
      </c>
      <c r="C79" s="18">
        <f>'Fórmulas'!$B$15</f>
        <v/>
      </c>
      <c r="D79" s="22">
        <f>B79*'Fórmulas'!$B$4*'Fórmulas'!$B$8</f>
        <v/>
      </c>
      <c r="E79" s="22">
        <f>C79*'Fórmulas'!$B$4</f>
        <v/>
      </c>
      <c r="F79" s="22">
        <f>D79-E79</f>
        <v/>
      </c>
      <c r="G79" s="22">
        <f>G78+F79</f>
        <v/>
      </c>
    </row>
    <row r="80">
      <c r="A80" s="18" t="n">
        <v>76</v>
      </c>
      <c r="B80" s="19" t="n">
        <v>1</v>
      </c>
      <c r="C80" s="18">
        <f>'Fórmulas'!$B$15</f>
        <v/>
      </c>
      <c r="D80" s="22">
        <f>B80*'Fórmulas'!$B$4*'Fórmulas'!$B$8</f>
        <v/>
      </c>
      <c r="E80" s="22">
        <f>C80*'Fórmulas'!$B$4</f>
        <v/>
      </c>
      <c r="F80" s="22">
        <f>D80-E80</f>
        <v/>
      </c>
      <c r="G80" s="22">
        <f>G79+F80</f>
        <v/>
      </c>
    </row>
    <row r="81">
      <c r="A81" s="18" t="n">
        <v>77</v>
      </c>
      <c r="B81" s="19" t="n">
        <v>1</v>
      </c>
      <c r="C81" s="18">
        <f>'Fórmulas'!$B$15</f>
        <v/>
      </c>
      <c r="D81" s="22">
        <f>B81*'Fórmulas'!$B$4*'Fórmulas'!$B$8</f>
        <v/>
      </c>
      <c r="E81" s="22">
        <f>C81*'Fórmulas'!$B$4</f>
        <v/>
      </c>
      <c r="F81" s="22">
        <f>D81-E81</f>
        <v/>
      </c>
      <c r="G81" s="22">
        <f>G80+F81</f>
        <v/>
      </c>
    </row>
    <row r="82">
      <c r="A82" s="18" t="n">
        <v>78</v>
      </c>
      <c r="B82" s="19" t="n">
        <v>2</v>
      </c>
      <c r="C82" s="18">
        <f>'Fórmulas'!$B$15</f>
        <v/>
      </c>
      <c r="D82" s="22">
        <f>B82*'Fórmulas'!$B$4*'Fórmulas'!$B$8</f>
        <v/>
      </c>
      <c r="E82" s="22">
        <f>C82*'Fórmulas'!$B$4</f>
        <v/>
      </c>
      <c r="F82" s="22">
        <f>D82-E82</f>
        <v/>
      </c>
      <c r="G82" s="22">
        <f>G81+F82</f>
        <v/>
      </c>
    </row>
    <row r="83">
      <c r="A83" s="18" t="n">
        <v>79</v>
      </c>
      <c r="B83" s="19" t="n">
        <v>2</v>
      </c>
      <c r="C83" s="18">
        <f>'Fórmulas'!$B$15</f>
        <v/>
      </c>
      <c r="D83" s="22">
        <f>B83*'Fórmulas'!$B$4*'Fórmulas'!$B$8</f>
        <v/>
      </c>
      <c r="E83" s="22">
        <f>C83*'Fórmulas'!$B$4</f>
        <v/>
      </c>
      <c r="F83" s="22">
        <f>D83-E83</f>
        <v/>
      </c>
      <c r="G83" s="22">
        <f>G82+F83</f>
        <v/>
      </c>
    </row>
    <row r="84">
      <c r="A84" s="18" t="n">
        <v>80</v>
      </c>
      <c r="B84" s="19" t="n">
        <v>2</v>
      </c>
      <c r="C84" s="18">
        <f>'Fórmulas'!$B$15</f>
        <v/>
      </c>
      <c r="D84" s="22">
        <f>B84*'Fórmulas'!$B$4*'Fórmulas'!$B$8</f>
        <v/>
      </c>
      <c r="E84" s="22">
        <f>C84*'Fórmulas'!$B$4</f>
        <v/>
      </c>
      <c r="F84" s="22">
        <f>D84-E84</f>
        <v/>
      </c>
      <c r="G84" s="22">
        <f>G83+F84</f>
        <v/>
      </c>
    </row>
    <row r="85">
      <c r="A85" s="18" t="n">
        <v>81</v>
      </c>
      <c r="B85" s="19" t="n">
        <v>2</v>
      </c>
      <c r="C85" s="18">
        <f>'Fórmulas'!$B$15</f>
        <v/>
      </c>
      <c r="D85" s="22">
        <f>B85*'Fórmulas'!$B$4*'Fórmulas'!$B$8</f>
        <v/>
      </c>
      <c r="E85" s="22">
        <f>C85*'Fórmulas'!$B$4</f>
        <v/>
      </c>
      <c r="F85" s="22">
        <f>D85-E85</f>
        <v/>
      </c>
      <c r="G85" s="22">
        <f>G84+F85</f>
        <v/>
      </c>
    </row>
    <row r="86">
      <c r="A86" s="18" t="n">
        <v>82</v>
      </c>
      <c r="B86" s="19" t="n">
        <v>1</v>
      </c>
      <c r="C86" s="18">
        <f>'Fórmulas'!$B$15</f>
        <v/>
      </c>
      <c r="D86" s="22">
        <f>B86*'Fórmulas'!$B$4*'Fórmulas'!$B$8</f>
        <v/>
      </c>
      <c r="E86" s="22">
        <f>C86*'Fórmulas'!$B$4</f>
        <v/>
      </c>
      <c r="F86" s="22">
        <f>D86-E86</f>
        <v/>
      </c>
      <c r="G86" s="22">
        <f>G85+F86</f>
        <v/>
      </c>
    </row>
    <row r="87">
      <c r="A87" s="18" t="n">
        <v>83</v>
      </c>
      <c r="B87" s="19" t="n">
        <v>2</v>
      </c>
      <c r="C87" s="18">
        <f>'Fórmulas'!$B$15</f>
        <v/>
      </c>
      <c r="D87" s="22">
        <f>B87*'Fórmulas'!$B$4*'Fórmulas'!$B$8</f>
        <v/>
      </c>
      <c r="E87" s="22">
        <f>C87*'Fórmulas'!$B$4</f>
        <v/>
      </c>
      <c r="F87" s="22">
        <f>D87-E87</f>
        <v/>
      </c>
      <c r="G87" s="22">
        <f>G86+F87</f>
        <v/>
      </c>
    </row>
    <row r="88">
      <c r="A88" s="18" t="n">
        <v>84</v>
      </c>
      <c r="B88" s="19" t="n">
        <v>1</v>
      </c>
      <c r="C88" s="18">
        <f>'Fórmulas'!$B$15</f>
        <v/>
      </c>
      <c r="D88" s="22">
        <f>B88*'Fórmulas'!$B$4*'Fórmulas'!$B$8</f>
        <v/>
      </c>
      <c r="E88" s="22">
        <f>C88*'Fórmulas'!$B$4</f>
        <v/>
      </c>
      <c r="F88" s="22">
        <f>D88-E88</f>
        <v/>
      </c>
      <c r="G88" s="22">
        <f>G87+F88</f>
        <v/>
      </c>
    </row>
    <row r="89">
      <c r="A89" s="18" t="n">
        <v>85</v>
      </c>
      <c r="B89" s="19" t="n">
        <v>0</v>
      </c>
      <c r="C89" s="18">
        <f>'Fórmulas'!$B$15</f>
        <v/>
      </c>
      <c r="D89" s="22">
        <f>B89*'Fórmulas'!$B$4*'Fórmulas'!$B$8</f>
        <v/>
      </c>
      <c r="E89" s="22">
        <f>C89*'Fórmulas'!$B$4</f>
        <v/>
      </c>
      <c r="F89" s="22">
        <f>D89-E89</f>
        <v/>
      </c>
      <c r="G89" s="22">
        <f>G88+F89</f>
        <v/>
      </c>
    </row>
    <row r="90">
      <c r="A90" s="18" t="n">
        <v>86</v>
      </c>
      <c r="B90" s="19" t="n">
        <v>0</v>
      </c>
      <c r="C90" s="18">
        <f>'Fórmulas'!$B$15</f>
        <v/>
      </c>
      <c r="D90" s="22">
        <f>B90*'Fórmulas'!$B$4*'Fórmulas'!$B$8</f>
        <v/>
      </c>
      <c r="E90" s="22">
        <f>C90*'Fórmulas'!$B$4</f>
        <v/>
      </c>
      <c r="F90" s="22">
        <f>D90-E90</f>
        <v/>
      </c>
      <c r="G90" s="22">
        <f>G89+F90</f>
        <v/>
      </c>
    </row>
    <row r="91">
      <c r="A91" s="18" t="n">
        <v>87</v>
      </c>
      <c r="B91" s="19" t="n">
        <v>2</v>
      </c>
      <c r="C91" s="18">
        <f>'Fórmulas'!$B$15</f>
        <v/>
      </c>
      <c r="D91" s="22">
        <f>B91*'Fórmulas'!$B$4*'Fórmulas'!$B$8</f>
        <v/>
      </c>
      <c r="E91" s="22">
        <f>C91*'Fórmulas'!$B$4</f>
        <v/>
      </c>
      <c r="F91" s="22">
        <f>D91-E91</f>
        <v/>
      </c>
      <c r="G91" s="22">
        <f>G90+F91</f>
        <v/>
      </c>
    </row>
    <row r="92">
      <c r="A92" s="18" t="n">
        <v>88</v>
      </c>
      <c r="B92" s="19" t="n">
        <v>1</v>
      </c>
      <c r="C92" s="18">
        <f>'Fórmulas'!$B$15</f>
        <v/>
      </c>
      <c r="D92" s="22">
        <f>B92*'Fórmulas'!$B$4*'Fórmulas'!$B$8</f>
        <v/>
      </c>
      <c r="E92" s="22">
        <f>C92*'Fórmulas'!$B$4</f>
        <v/>
      </c>
      <c r="F92" s="22">
        <f>D92-E92</f>
        <v/>
      </c>
      <c r="G92" s="22">
        <f>G91+F92</f>
        <v/>
      </c>
    </row>
    <row r="93">
      <c r="A93" s="18" t="n">
        <v>89</v>
      </c>
      <c r="B93" s="19" t="n">
        <v>1</v>
      </c>
      <c r="C93" s="18">
        <f>'Fórmulas'!$B$15</f>
        <v/>
      </c>
      <c r="D93" s="22">
        <f>B93*'Fórmulas'!$B$4*'Fórmulas'!$B$8</f>
        <v/>
      </c>
      <c r="E93" s="22">
        <f>C93*'Fórmulas'!$B$4</f>
        <v/>
      </c>
      <c r="F93" s="22">
        <f>D93-E93</f>
        <v/>
      </c>
      <c r="G93" s="22">
        <f>G92+F93</f>
        <v/>
      </c>
    </row>
    <row r="94">
      <c r="A94" s="18" t="n">
        <v>90</v>
      </c>
      <c r="B94" s="19" t="n">
        <v>1</v>
      </c>
      <c r="C94" s="18">
        <f>'Fórmulas'!$B$15</f>
        <v/>
      </c>
      <c r="D94" s="22">
        <f>B94*'Fórmulas'!$B$4*'Fórmulas'!$B$8</f>
        <v/>
      </c>
      <c r="E94" s="22">
        <f>C94*'Fórmulas'!$B$4</f>
        <v/>
      </c>
      <c r="F94" s="22">
        <f>D94-E94</f>
        <v/>
      </c>
      <c r="G94" s="22">
        <f>G93+F94</f>
        <v/>
      </c>
    </row>
    <row r="95">
      <c r="A95" s="18" t="n">
        <v>91</v>
      </c>
      <c r="B95" s="19" t="n">
        <v>0</v>
      </c>
      <c r="C95" s="18">
        <f>'Fórmulas'!$B$15</f>
        <v/>
      </c>
      <c r="D95" s="22">
        <f>B95*'Fórmulas'!$B$4*'Fórmulas'!$B$8</f>
        <v/>
      </c>
      <c r="E95" s="22">
        <f>C95*'Fórmulas'!$B$4</f>
        <v/>
      </c>
      <c r="F95" s="22">
        <f>D95-E95</f>
        <v/>
      </c>
      <c r="G95" s="22">
        <f>G94+F95</f>
        <v/>
      </c>
    </row>
    <row r="96">
      <c r="A96" s="18" t="n">
        <v>92</v>
      </c>
      <c r="B96" s="19" t="n">
        <v>2</v>
      </c>
      <c r="C96" s="18">
        <f>'Fórmulas'!$B$15</f>
        <v/>
      </c>
      <c r="D96" s="22">
        <f>B96*'Fórmulas'!$B$4*'Fórmulas'!$B$8</f>
        <v/>
      </c>
      <c r="E96" s="22">
        <f>C96*'Fórmulas'!$B$4</f>
        <v/>
      </c>
      <c r="F96" s="22">
        <f>D96-E96</f>
        <v/>
      </c>
      <c r="G96" s="22">
        <f>G95+F96</f>
        <v/>
      </c>
    </row>
    <row r="97">
      <c r="A97" s="18" t="n">
        <v>93</v>
      </c>
      <c r="B97" s="19" t="n">
        <v>1</v>
      </c>
      <c r="C97" s="18">
        <f>'Fórmulas'!$B$15</f>
        <v/>
      </c>
      <c r="D97" s="22">
        <f>B97*'Fórmulas'!$B$4*'Fórmulas'!$B$8</f>
        <v/>
      </c>
      <c r="E97" s="22">
        <f>C97*'Fórmulas'!$B$4</f>
        <v/>
      </c>
      <c r="F97" s="22">
        <f>D97-E97</f>
        <v/>
      </c>
      <c r="G97" s="22">
        <f>G96+F97</f>
        <v/>
      </c>
    </row>
    <row r="98">
      <c r="A98" s="18" t="n">
        <v>94</v>
      </c>
      <c r="B98" s="19" t="n">
        <v>1</v>
      </c>
      <c r="C98" s="18">
        <f>'Fórmulas'!$B$15</f>
        <v/>
      </c>
      <c r="D98" s="22">
        <f>B98*'Fórmulas'!$B$4*'Fórmulas'!$B$8</f>
        <v/>
      </c>
      <c r="E98" s="22">
        <f>C98*'Fórmulas'!$B$4</f>
        <v/>
      </c>
      <c r="F98" s="22">
        <f>D98-E98</f>
        <v/>
      </c>
      <c r="G98" s="22">
        <f>G97+F98</f>
        <v/>
      </c>
    </row>
    <row r="99">
      <c r="A99" s="18" t="n">
        <v>95</v>
      </c>
      <c r="B99" s="19" t="n">
        <v>1</v>
      </c>
      <c r="C99" s="18">
        <f>'Fórmulas'!$B$15</f>
        <v/>
      </c>
      <c r="D99" s="22">
        <f>B99*'Fórmulas'!$B$4*'Fórmulas'!$B$8</f>
        <v/>
      </c>
      <c r="E99" s="22">
        <f>C99*'Fórmulas'!$B$4</f>
        <v/>
      </c>
      <c r="F99" s="22">
        <f>D99-E99</f>
        <v/>
      </c>
      <c r="G99" s="22">
        <f>G98+F99</f>
        <v/>
      </c>
    </row>
    <row r="100">
      <c r="A100" s="18" t="n">
        <v>96</v>
      </c>
      <c r="B100" s="19" t="n">
        <v>2</v>
      </c>
      <c r="C100" s="18">
        <f>'Fórmulas'!$B$15</f>
        <v/>
      </c>
      <c r="D100" s="22">
        <f>B100*'Fórmulas'!$B$4*'Fórmulas'!$B$8</f>
        <v/>
      </c>
      <c r="E100" s="22">
        <f>C100*'Fórmulas'!$B$4</f>
        <v/>
      </c>
      <c r="F100" s="22">
        <f>D100-E100</f>
        <v/>
      </c>
      <c r="G100" s="22">
        <f>G99+F100</f>
        <v/>
      </c>
    </row>
    <row r="101">
      <c r="A101" s="18" t="n">
        <v>97</v>
      </c>
      <c r="B101" s="19" t="n">
        <v>1</v>
      </c>
      <c r="C101" s="18">
        <f>'Fórmulas'!$B$15</f>
        <v/>
      </c>
      <c r="D101" s="22">
        <f>B101*'Fórmulas'!$B$4*'Fórmulas'!$B$8</f>
        <v/>
      </c>
      <c r="E101" s="22">
        <f>C101*'Fórmulas'!$B$4</f>
        <v/>
      </c>
      <c r="F101" s="22">
        <f>D101-E101</f>
        <v/>
      </c>
      <c r="G101" s="22">
        <f>G100+F101</f>
        <v/>
      </c>
    </row>
    <row r="102">
      <c r="A102" s="18" t="n">
        <v>98</v>
      </c>
      <c r="B102" s="19" t="n">
        <v>0</v>
      </c>
      <c r="C102" s="18">
        <f>'Fórmulas'!$B$15</f>
        <v/>
      </c>
      <c r="D102" s="22">
        <f>B102*'Fórmulas'!$B$4*'Fórmulas'!$B$8</f>
        <v/>
      </c>
      <c r="E102" s="22">
        <f>C102*'Fórmulas'!$B$4</f>
        <v/>
      </c>
      <c r="F102" s="22">
        <f>D102-E102</f>
        <v/>
      </c>
      <c r="G102" s="22">
        <f>G101+F102</f>
        <v/>
      </c>
    </row>
    <row r="103">
      <c r="A103" s="18" t="n">
        <v>99</v>
      </c>
      <c r="B103" s="19" t="n">
        <v>0</v>
      </c>
      <c r="C103" s="18">
        <f>'Fórmulas'!$B$15</f>
        <v/>
      </c>
      <c r="D103" s="22">
        <f>B103*'Fórmulas'!$B$4*'Fórmulas'!$B$8</f>
        <v/>
      </c>
      <c r="E103" s="22">
        <f>C103*'Fórmulas'!$B$4</f>
        <v/>
      </c>
      <c r="F103" s="22">
        <f>D103-E103</f>
        <v/>
      </c>
      <c r="G103" s="22">
        <f>G102+F103</f>
        <v/>
      </c>
    </row>
    <row r="104">
      <c r="A104" s="18" t="n">
        <v>100</v>
      </c>
      <c r="B104" s="19" t="n">
        <v>3</v>
      </c>
      <c r="C104" s="18">
        <f>'Fórmulas'!$B$15</f>
        <v/>
      </c>
      <c r="D104" s="22">
        <f>B104*'Fórmulas'!$B$4*'Fórmulas'!$B$8</f>
        <v/>
      </c>
      <c r="E104" s="22">
        <f>C104*'Fórmulas'!$B$4</f>
        <v/>
      </c>
      <c r="F104" s="22">
        <f>D104-E104</f>
        <v/>
      </c>
      <c r="G104" s="22">
        <f>G103+F104</f>
        <v/>
      </c>
    </row>
    <row r="105">
      <c r="A105" s="18" t="n">
        <v>101</v>
      </c>
      <c r="B105" s="19" t="n">
        <v>3</v>
      </c>
      <c r="C105" s="18">
        <f>'Fórmulas'!$B$15</f>
        <v/>
      </c>
      <c r="D105" s="22">
        <f>B105*'Fórmulas'!$B$4*'Fórmulas'!$B$8</f>
        <v/>
      </c>
      <c r="E105" s="22">
        <f>C105*'Fórmulas'!$B$4</f>
        <v/>
      </c>
      <c r="F105" s="22">
        <f>D105-E105</f>
        <v/>
      </c>
      <c r="G105" s="22">
        <f>G104+F105</f>
        <v/>
      </c>
    </row>
    <row r="106">
      <c r="A106" s="18" t="n">
        <v>102</v>
      </c>
      <c r="B106" s="19" t="n">
        <v>2</v>
      </c>
      <c r="C106" s="18">
        <f>'Fórmulas'!$B$15</f>
        <v/>
      </c>
      <c r="D106" s="22">
        <f>B106*'Fórmulas'!$B$4*'Fórmulas'!$B$8</f>
        <v/>
      </c>
      <c r="E106" s="22">
        <f>C106*'Fórmulas'!$B$4</f>
        <v/>
      </c>
      <c r="F106" s="22">
        <f>D106-E106</f>
        <v/>
      </c>
      <c r="G106" s="22">
        <f>G105+F106</f>
        <v/>
      </c>
    </row>
    <row r="107">
      <c r="A107" s="18" t="n">
        <v>103</v>
      </c>
      <c r="B107" s="19" t="n">
        <v>1</v>
      </c>
      <c r="C107" s="18">
        <f>'Fórmulas'!$B$15</f>
        <v/>
      </c>
      <c r="D107" s="22">
        <f>B107*'Fórmulas'!$B$4*'Fórmulas'!$B$8</f>
        <v/>
      </c>
      <c r="E107" s="22">
        <f>C107*'Fórmulas'!$B$4</f>
        <v/>
      </c>
      <c r="F107" s="22">
        <f>D107-E107</f>
        <v/>
      </c>
      <c r="G107" s="22">
        <f>G106+F107</f>
        <v/>
      </c>
    </row>
    <row r="108">
      <c r="A108" s="18" t="n">
        <v>104</v>
      </c>
      <c r="B108" s="19" t="n">
        <v>3</v>
      </c>
      <c r="C108" s="18">
        <f>'Fórmulas'!$B$15</f>
        <v/>
      </c>
      <c r="D108" s="22">
        <f>B108*'Fórmulas'!$B$4*'Fórmulas'!$B$8</f>
        <v/>
      </c>
      <c r="E108" s="22">
        <f>C108*'Fórmulas'!$B$4</f>
        <v/>
      </c>
      <c r="F108" s="22">
        <f>D108-E108</f>
        <v/>
      </c>
      <c r="G108" s="22">
        <f>G107+F108</f>
        <v/>
      </c>
    </row>
    <row r="109">
      <c r="A109" s="18" t="n">
        <v>105</v>
      </c>
      <c r="B109" s="19" t="n">
        <v>2</v>
      </c>
      <c r="C109" s="18">
        <f>'Fórmulas'!$B$15</f>
        <v/>
      </c>
      <c r="D109" s="22">
        <f>B109*'Fórmulas'!$B$4*'Fórmulas'!$B$8</f>
        <v/>
      </c>
      <c r="E109" s="22">
        <f>C109*'Fórmulas'!$B$4</f>
        <v/>
      </c>
      <c r="F109" s="22">
        <f>D109-E109</f>
        <v/>
      </c>
      <c r="G109" s="22">
        <f>G108+F109</f>
        <v/>
      </c>
    </row>
    <row r="110">
      <c r="A110" s="18" t="n">
        <v>106</v>
      </c>
      <c r="B110" s="19" t="n">
        <v>2</v>
      </c>
      <c r="C110" s="18">
        <f>'Fórmulas'!$B$15</f>
        <v/>
      </c>
      <c r="D110" s="22">
        <f>B110*'Fórmulas'!$B$4*'Fórmulas'!$B$8</f>
        <v/>
      </c>
      <c r="E110" s="22">
        <f>C110*'Fórmulas'!$B$4</f>
        <v/>
      </c>
      <c r="F110" s="22">
        <f>D110-E110</f>
        <v/>
      </c>
      <c r="G110" s="22">
        <f>G109+F110</f>
        <v/>
      </c>
    </row>
    <row r="111">
      <c r="A111" s="18" t="n">
        <v>107</v>
      </c>
      <c r="B111" s="19" t="n">
        <v>1</v>
      </c>
      <c r="C111" s="18">
        <f>'Fórmulas'!$B$15</f>
        <v/>
      </c>
      <c r="D111" s="22">
        <f>B111*'Fórmulas'!$B$4*'Fórmulas'!$B$8</f>
        <v/>
      </c>
      <c r="E111" s="22">
        <f>C111*'Fórmulas'!$B$4</f>
        <v/>
      </c>
      <c r="F111" s="22">
        <f>D111-E111</f>
        <v/>
      </c>
      <c r="G111" s="22">
        <f>G110+F111</f>
        <v/>
      </c>
    </row>
    <row r="112">
      <c r="A112" s="18" t="n">
        <v>108</v>
      </c>
      <c r="B112" s="19" t="n">
        <v>1</v>
      </c>
      <c r="C112" s="18">
        <f>'Fórmulas'!$B$15</f>
        <v/>
      </c>
      <c r="D112" s="22">
        <f>B112*'Fórmulas'!$B$4*'Fórmulas'!$B$8</f>
        <v/>
      </c>
      <c r="E112" s="22">
        <f>C112*'Fórmulas'!$B$4</f>
        <v/>
      </c>
      <c r="F112" s="22">
        <f>D112-E112</f>
        <v/>
      </c>
      <c r="G112" s="22">
        <f>G111+F112</f>
        <v/>
      </c>
    </row>
    <row r="113">
      <c r="A113" s="18" t="n">
        <v>109</v>
      </c>
      <c r="B113" s="19" t="n">
        <v>0</v>
      </c>
      <c r="C113" s="18">
        <f>'Fórmulas'!$B$15</f>
        <v/>
      </c>
      <c r="D113" s="22">
        <f>B113*'Fórmulas'!$B$4*'Fórmulas'!$B$8</f>
        <v/>
      </c>
      <c r="E113" s="22">
        <f>C113*'Fórmulas'!$B$4</f>
        <v/>
      </c>
      <c r="F113" s="22">
        <f>D113-E113</f>
        <v/>
      </c>
      <c r="G113" s="22">
        <f>G112+F113</f>
        <v/>
      </c>
    </row>
    <row r="114">
      <c r="A114" s="18" t="n">
        <v>110</v>
      </c>
      <c r="B114" s="19" t="n">
        <v>3</v>
      </c>
      <c r="C114" s="18">
        <f>'Fórmulas'!$B$15</f>
        <v/>
      </c>
      <c r="D114" s="22">
        <f>B114*'Fórmulas'!$B$4*'Fórmulas'!$B$8</f>
        <v/>
      </c>
      <c r="E114" s="22">
        <f>C114*'Fórmulas'!$B$4</f>
        <v/>
      </c>
      <c r="F114" s="22">
        <f>D114-E114</f>
        <v/>
      </c>
      <c r="G114" s="22">
        <f>G113+F114</f>
        <v/>
      </c>
    </row>
    <row r="115">
      <c r="A115" s="18" t="n">
        <v>111</v>
      </c>
      <c r="B115" s="19" t="n">
        <v>1</v>
      </c>
      <c r="C115" s="18">
        <f>'Fórmulas'!$B$15</f>
        <v/>
      </c>
      <c r="D115" s="22">
        <f>B115*'Fórmulas'!$B$4*'Fórmulas'!$B$8</f>
        <v/>
      </c>
      <c r="E115" s="22">
        <f>C115*'Fórmulas'!$B$4</f>
        <v/>
      </c>
      <c r="F115" s="22">
        <f>D115-E115</f>
        <v/>
      </c>
      <c r="G115" s="22">
        <f>G114+F115</f>
        <v/>
      </c>
    </row>
    <row r="116">
      <c r="A116" s="18" t="n">
        <v>112</v>
      </c>
      <c r="B116" s="19" t="n">
        <v>1</v>
      </c>
      <c r="C116" s="18">
        <f>'Fórmulas'!$B$15</f>
        <v/>
      </c>
      <c r="D116" s="22">
        <f>B116*'Fórmulas'!$B$4*'Fórmulas'!$B$8</f>
        <v/>
      </c>
      <c r="E116" s="22">
        <f>C116*'Fórmulas'!$B$4</f>
        <v/>
      </c>
      <c r="F116" s="22">
        <f>D116-E116</f>
        <v/>
      </c>
      <c r="G116" s="22">
        <f>G115+F116</f>
        <v/>
      </c>
    </row>
    <row r="117">
      <c r="A117" s="18" t="n">
        <v>113</v>
      </c>
      <c r="B117" s="19" t="n">
        <v>1</v>
      </c>
      <c r="C117" s="18">
        <f>'Fórmulas'!$B$15</f>
        <v/>
      </c>
      <c r="D117" s="22">
        <f>B117*'Fórmulas'!$B$4*'Fórmulas'!$B$8</f>
        <v/>
      </c>
      <c r="E117" s="22">
        <f>C117*'Fórmulas'!$B$4</f>
        <v/>
      </c>
      <c r="F117" s="22">
        <f>D117-E117</f>
        <v/>
      </c>
      <c r="G117" s="22">
        <f>G116+F117</f>
        <v/>
      </c>
    </row>
    <row r="118">
      <c r="A118" s="18" t="n">
        <v>114</v>
      </c>
      <c r="B118" s="19" t="n">
        <v>2</v>
      </c>
      <c r="C118" s="18">
        <f>'Fórmulas'!$B$15</f>
        <v/>
      </c>
      <c r="D118" s="22">
        <f>B118*'Fórmulas'!$B$4*'Fórmulas'!$B$8</f>
        <v/>
      </c>
      <c r="E118" s="22">
        <f>C118*'Fórmulas'!$B$4</f>
        <v/>
      </c>
      <c r="F118" s="22">
        <f>D118-E118</f>
        <v/>
      </c>
      <c r="G118" s="22">
        <f>G117+F118</f>
        <v/>
      </c>
    </row>
    <row r="119">
      <c r="A119" s="18" t="n">
        <v>115</v>
      </c>
      <c r="B119" s="19" t="n">
        <v>1</v>
      </c>
      <c r="C119" s="18">
        <f>'Fórmulas'!$B$15</f>
        <v/>
      </c>
      <c r="D119" s="22">
        <f>B119*'Fórmulas'!$B$4*'Fórmulas'!$B$8</f>
        <v/>
      </c>
      <c r="E119" s="22">
        <f>C119*'Fórmulas'!$B$4</f>
        <v/>
      </c>
      <c r="F119" s="22">
        <f>D119-E119</f>
        <v/>
      </c>
      <c r="G119" s="22">
        <f>G118+F119</f>
        <v/>
      </c>
    </row>
    <row r="120">
      <c r="A120" s="18" t="n">
        <v>116</v>
      </c>
      <c r="B120" s="19" t="n">
        <v>2</v>
      </c>
      <c r="C120" s="18">
        <f>'Fórmulas'!$B$15</f>
        <v/>
      </c>
      <c r="D120" s="22">
        <f>B120*'Fórmulas'!$B$4*'Fórmulas'!$B$8</f>
        <v/>
      </c>
      <c r="E120" s="22">
        <f>C120*'Fórmulas'!$B$4</f>
        <v/>
      </c>
      <c r="F120" s="22">
        <f>D120-E120</f>
        <v/>
      </c>
      <c r="G120" s="22">
        <f>G119+F120</f>
        <v/>
      </c>
    </row>
    <row r="121">
      <c r="A121" s="18" t="n">
        <v>117</v>
      </c>
      <c r="B121" s="19" t="n">
        <v>2</v>
      </c>
      <c r="C121" s="18">
        <f>'Fórmulas'!$B$15</f>
        <v/>
      </c>
      <c r="D121" s="22">
        <f>B121*'Fórmulas'!$B$4*'Fórmulas'!$B$8</f>
        <v/>
      </c>
      <c r="E121" s="22">
        <f>C121*'Fórmulas'!$B$4</f>
        <v/>
      </c>
      <c r="F121" s="22">
        <f>D121-E121</f>
        <v/>
      </c>
      <c r="G121" s="22">
        <f>G120+F121</f>
        <v/>
      </c>
    </row>
    <row r="122">
      <c r="A122" s="18" t="n">
        <v>118</v>
      </c>
      <c r="B122" s="19" t="n">
        <v>2</v>
      </c>
      <c r="C122" s="18">
        <f>'Fórmulas'!$B$15</f>
        <v/>
      </c>
      <c r="D122" s="22">
        <f>B122*'Fórmulas'!$B$4*'Fórmulas'!$B$8</f>
        <v/>
      </c>
      <c r="E122" s="22">
        <f>C122*'Fórmulas'!$B$4</f>
        <v/>
      </c>
      <c r="F122" s="22">
        <f>D122-E122</f>
        <v/>
      </c>
      <c r="G122" s="22">
        <f>G121+F122</f>
        <v/>
      </c>
    </row>
    <row r="123">
      <c r="A123" s="18" t="n">
        <v>119</v>
      </c>
      <c r="B123" s="19" t="n">
        <v>1</v>
      </c>
      <c r="C123" s="18">
        <f>'Fórmulas'!$B$15</f>
        <v/>
      </c>
      <c r="D123" s="22">
        <f>B123*'Fórmulas'!$B$4*'Fórmulas'!$B$8</f>
        <v/>
      </c>
      <c r="E123" s="22">
        <f>C123*'Fórmulas'!$B$4</f>
        <v/>
      </c>
      <c r="F123" s="22">
        <f>D123-E123</f>
        <v/>
      </c>
      <c r="G123" s="22">
        <f>G122+F123</f>
        <v/>
      </c>
    </row>
    <row r="124">
      <c r="A124" s="18" t="n">
        <v>120</v>
      </c>
      <c r="B124" s="19" t="n">
        <v>2</v>
      </c>
      <c r="C124" s="18">
        <f>'Fórmulas'!$B$15</f>
        <v/>
      </c>
      <c r="D124" s="22">
        <f>B124*'Fórmulas'!$B$4*'Fórmulas'!$B$8</f>
        <v/>
      </c>
      <c r="E124" s="22">
        <f>C124*'Fórmulas'!$B$4</f>
        <v/>
      </c>
      <c r="F124" s="22">
        <f>D124-E124</f>
        <v/>
      </c>
      <c r="G124" s="22">
        <f>G123+F124</f>
        <v/>
      </c>
    </row>
    <row r="125">
      <c r="A125" s="18" t="n">
        <v>121</v>
      </c>
      <c r="B125" s="19" t="n">
        <v>2</v>
      </c>
      <c r="C125" s="18">
        <f>'Fórmulas'!$B$15</f>
        <v/>
      </c>
      <c r="D125" s="22">
        <f>B125*'Fórmulas'!$B$4*'Fórmulas'!$B$8</f>
        <v/>
      </c>
      <c r="E125" s="22">
        <f>C125*'Fórmulas'!$B$4</f>
        <v/>
      </c>
      <c r="F125" s="22">
        <f>D125-E125</f>
        <v/>
      </c>
      <c r="G125" s="22">
        <f>G124+F125</f>
        <v/>
      </c>
    </row>
    <row r="126">
      <c r="A126" s="18" t="n">
        <v>122</v>
      </c>
      <c r="B126" s="19" t="n">
        <v>2</v>
      </c>
      <c r="C126" s="18">
        <f>'Fórmulas'!$B$15</f>
        <v/>
      </c>
      <c r="D126" s="22">
        <f>B126*'Fórmulas'!$B$4*'Fórmulas'!$B$8</f>
        <v/>
      </c>
      <c r="E126" s="22">
        <f>C126*'Fórmulas'!$B$4</f>
        <v/>
      </c>
      <c r="F126" s="22">
        <f>D126-E126</f>
        <v/>
      </c>
      <c r="G126" s="22">
        <f>G125+F126</f>
        <v/>
      </c>
    </row>
    <row r="127">
      <c r="A127" s="18" t="n">
        <v>123</v>
      </c>
      <c r="B127" s="19" t="n">
        <v>0</v>
      </c>
      <c r="C127" s="18">
        <f>'Fórmulas'!$B$15</f>
        <v/>
      </c>
      <c r="D127" s="22">
        <f>B127*'Fórmulas'!$B$4*'Fórmulas'!$B$8</f>
        <v/>
      </c>
      <c r="E127" s="22">
        <f>C127*'Fórmulas'!$B$4</f>
        <v/>
      </c>
      <c r="F127" s="22">
        <f>D127-E127</f>
        <v/>
      </c>
      <c r="G127" s="22">
        <f>G126+F127</f>
        <v/>
      </c>
    </row>
    <row r="128">
      <c r="A128" s="18" t="n">
        <v>124</v>
      </c>
      <c r="B128" s="19" t="n">
        <v>1</v>
      </c>
      <c r="C128" s="18">
        <f>'Fórmulas'!$B$15</f>
        <v/>
      </c>
      <c r="D128" s="22">
        <f>B128*'Fórmulas'!$B$4*'Fórmulas'!$B$8</f>
        <v/>
      </c>
      <c r="E128" s="22">
        <f>C128*'Fórmulas'!$B$4</f>
        <v/>
      </c>
      <c r="F128" s="22">
        <f>D128-E128</f>
        <v/>
      </c>
      <c r="G128" s="22">
        <f>G127+F128</f>
        <v/>
      </c>
    </row>
    <row r="129">
      <c r="A129" s="18" t="n">
        <v>125</v>
      </c>
      <c r="B129" s="19" t="n">
        <v>0</v>
      </c>
      <c r="C129" s="18">
        <f>'Fórmulas'!$B$15</f>
        <v/>
      </c>
      <c r="D129" s="22">
        <f>B129*'Fórmulas'!$B$4*'Fórmulas'!$B$8</f>
        <v/>
      </c>
      <c r="E129" s="22">
        <f>C129*'Fórmulas'!$B$4</f>
        <v/>
      </c>
      <c r="F129" s="22">
        <f>D129-E129</f>
        <v/>
      </c>
      <c r="G129" s="22">
        <f>G128+F129</f>
        <v/>
      </c>
    </row>
    <row r="130">
      <c r="A130" s="18" t="n">
        <v>126</v>
      </c>
      <c r="B130" s="19" t="n">
        <v>1</v>
      </c>
      <c r="C130" s="18">
        <f>'Fórmulas'!$B$15</f>
        <v/>
      </c>
      <c r="D130" s="22">
        <f>B130*'Fórmulas'!$B$4*'Fórmulas'!$B$8</f>
        <v/>
      </c>
      <c r="E130" s="22">
        <f>C130*'Fórmulas'!$B$4</f>
        <v/>
      </c>
      <c r="F130" s="22">
        <f>D130-E130</f>
        <v/>
      </c>
      <c r="G130" s="22">
        <f>G129+F130</f>
        <v/>
      </c>
    </row>
    <row r="131">
      <c r="A131" s="18" t="n">
        <v>127</v>
      </c>
      <c r="B131" s="19" t="n">
        <v>1</v>
      </c>
      <c r="C131" s="18">
        <f>'Fórmulas'!$B$15</f>
        <v/>
      </c>
      <c r="D131" s="22">
        <f>B131*'Fórmulas'!$B$4*'Fórmulas'!$B$8</f>
        <v/>
      </c>
      <c r="E131" s="22">
        <f>C131*'Fórmulas'!$B$4</f>
        <v/>
      </c>
      <c r="F131" s="22">
        <f>D131-E131</f>
        <v/>
      </c>
      <c r="G131" s="22">
        <f>G130+F131</f>
        <v/>
      </c>
    </row>
    <row r="132">
      <c r="A132" s="18" t="n">
        <v>128</v>
      </c>
      <c r="B132" s="19" t="n">
        <v>0</v>
      </c>
      <c r="C132" s="18">
        <f>'Fórmulas'!$B$15</f>
        <v/>
      </c>
      <c r="D132" s="22">
        <f>B132*'Fórmulas'!$B$4*'Fórmulas'!$B$8</f>
        <v/>
      </c>
      <c r="E132" s="22">
        <f>C132*'Fórmulas'!$B$4</f>
        <v/>
      </c>
      <c r="F132" s="22">
        <f>D132-E132</f>
        <v/>
      </c>
      <c r="G132" s="22">
        <f>G131+F132</f>
        <v/>
      </c>
    </row>
    <row r="133">
      <c r="A133" s="18" t="n">
        <v>129</v>
      </c>
      <c r="B133" s="19" t="n">
        <v>0</v>
      </c>
      <c r="C133" s="18">
        <f>'Fórmulas'!$B$15</f>
        <v/>
      </c>
      <c r="D133" s="22">
        <f>B133*'Fórmulas'!$B$4*'Fórmulas'!$B$8</f>
        <v/>
      </c>
      <c r="E133" s="22">
        <f>C133*'Fórmulas'!$B$4</f>
        <v/>
      </c>
      <c r="F133" s="22">
        <f>D133-E133</f>
        <v/>
      </c>
      <c r="G133" s="22">
        <f>G132+F133</f>
        <v/>
      </c>
    </row>
    <row r="134">
      <c r="A134" s="18" t="n">
        <v>130</v>
      </c>
      <c r="B134" s="19" t="n">
        <v>2</v>
      </c>
      <c r="C134" s="18">
        <f>'Fórmulas'!$B$15</f>
        <v/>
      </c>
      <c r="D134" s="22">
        <f>B134*'Fórmulas'!$B$4*'Fórmulas'!$B$8</f>
        <v/>
      </c>
      <c r="E134" s="22">
        <f>C134*'Fórmulas'!$B$4</f>
        <v/>
      </c>
      <c r="F134" s="22">
        <f>D134-E134</f>
        <v/>
      </c>
      <c r="G134" s="22">
        <f>G133+F134</f>
        <v/>
      </c>
    </row>
    <row r="135">
      <c r="A135" s="18" t="n">
        <v>131</v>
      </c>
      <c r="B135" s="19" t="n">
        <v>1</v>
      </c>
      <c r="C135" s="18">
        <f>'Fórmulas'!$B$15</f>
        <v/>
      </c>
      <c r="D135" s="22">
        <f>B135*'Fórmulas'!$B$4*'Fórmulas'!$B$8</f>
        <v/>
      </c>
      <c r="E135" s="22">
        <f>C135*'Fórmulas'!$B$4</f>
        <v/>
      </c>
      <c r="F135" s="22">
        <f>D135-E135</f>
        <v/>
      </c>
      <c r="G135" s="22">
        <f>G134+F135</f>
        <v/>
      </c>
    </row>
    <row r="136">
      <c r="A136" s="18" t="n">
        <v>132</v>
      </c>
      <c r="B136" s="19" t="n">
        <v>3</v>
      </c>
      <c r="C136" s="18">
        <f>'Fórmulas'!$B$15</f>
        <v/>
      </c>
      <c r="D136" s="22">
        <f>B136*'Fórmulas'!$B$4*'Fórmulas'!$B$8</f>
        <v/>
      </c>
      <c r="E136" s="22">
        <f>C136*'Fórmulas'!$B$4</f>
        <v/>
      </c>
      <c r="F136" s="22">
        <f>D136-E136</f>
        <v/>
      </c>
      <c r="G136" s="22">
        <f>G135+F136</f>
        <v/>
      </c>
    </row>
    <row r="137">
      <c r="A137" s="18" t="n">
        <v>133</v>
      </c>
      <c r="B137" s="19" t="n">
        <v>2</v>
      </c>
      <c r="C137" s="18">
        <f>'Fórmulas'!$B$15</f>
        <v/>
      </c>
      <c r="D137" s="22">
        <f>B137*'Fórmulas'!$B$4*'Fórmulas'!$B$8</f>
        <v/>
      </c>
      <c r="E137" s="22">
        <f>C137*'Fórmulas'!$B$4</f>
        <v/>
      </c>
      <c r="F137" s="22">
        <f>D137-E137</f>
        <v/>
      </c>
      <c r="G137" s="22">
        <f>G136+F137</f>
        <v/>
      </c>
    </row>
    <row r="138">
      <c r="A138" s="18" t="n">
        <v>134</v>
      </c>
      <c r="B138" s="19" t="n">
        <v>1</v>
      </c>
      <c r="C138" s="18">
        <f>'Fórmulas'!$B$15</f>
        <v/>
      </c>
      <c r="D138" s="22">
        <f>B138*'Fórmulas'!$B$4*'Fórmulas'!$B$8</f>
        <v/>
      </c>
      <c r="E138" s="22">
        <f>C138*'Fórmulas'!$B$4</f>
        <v/>
      </c>
      <c r="F138" s="22">
        <f>D138-E138</f>
        <v/>
      </c>
      <c r="G138" s="22">
        <f>G137+F138</f>
        <v/>
      </c>
    </row>
    <row r="139">
      <c r="A139" s="18" t="n">
        <v>135</v>
      </c>
      <c r="B139" s="19" t="n">
        <v>2</v>
      </c>
      <c r="C139" s="18">
        <f>'Fórmulas'!$B$15</f>
        <v/>
      </c>
      <c r="D139" s="22">
        <f>B139*'Fórmulas'!$B$4*'Fórmulas'!$B$8</f>
        <v/>
      </c>
      <c r="E139" s="22">
        <f>C139*'Fórmulas'!$B$4</f>
        <v/>
      </c>
      <c r="F139" s="22">
        <f>D139-E139</f>
        <v/>
      </c>
      <c r="G139" s="22">
        <f>G138+F139</f>
        <v/>
      </c>
    </row>
    <row r="140">
      <c r="A140" s="18" t="n">
        <v>136</v>
      </c>
      <c r="B140" s="19" t="n">
        <v>0</v>
      </c>
      <c r="C140" s="18">
        <f>'Fórmulas'!$B$15</f>
        <v/>
      </c>
      <c r="D140" s="22">
        <f>B140*'Fórmulas'!$B$4*'Fórmulas'!$B$8</f>
        <v/>
      </c>
      <c r="E140" s="22">
        <f>C140*'Fórmulas'!$B$4</f>
        <v/>
      </c>
      <c r="F140" s="22">
        <f>D140-E140</f>
        <v/>
      </c>
      <c r="G140" s="22">
        <f>G139+F140</f>
        <v/>
      </c>
    </row>
    <row r="141">
      <c r="A141" s="18" t="n">
        <v>137</v>
      </c>
      <c r="B141" s="19" t="n">
        <v>3</v>
      </c>
      <c r="C141" s="18">
        <f>'Fórmulas'!$B$15</f>
        <v/>
      </c>
      <c r="D141" s="22">
        <f>B141*'Fórmulas'!$B$4*'Fórmulas'!$B$8</f>
        <v/>
      </c>
      <c r="E141" s="22">
        <f>C141*'Fórmulas'!$B$4</f>
        <v/>
      </c>
      <c r="F141" s="22">
        <f>D141-E141</f>
        <v/>
      </c>
      <c r="G141" s="22">
        <f>G140+F141</f>
        <v/>
      </c>
    </row>
    <row r="142">
      <c r="A142" s="18" t="n">
        <v>138</v>
      </c>
      <c r="B142" s="19" t="n">
        <v>1</v>
      </c>
      <c r="C142" s="18">
        <f>'Fórmulas'!$B$15</f>
        <v/>
      </c>
      <c r="D142" s="22">
        <f>B142*'Fórmulas'!$B$4*'Fórmulas'!$B$8</f>
        <v/>
      </c>
      <c r="E142" s="22">
        <f>C142*'Fórmulas'!$B$4</f>
        <v/>
      </c>
      <c r="F142" s="22">
        <f>D142-E142</f>
        <v/>
      </c>
      <c r="G142" s="22">
        <f>G141+F142</f>
        <v/>
      </c>
    </row>
    <row r="143">
      <c r="A143" s="18" t="n">
        <v>139</v>
      </c>
      <c r="B143" s="19" t="n">
        <v>2</v>
      </c>
      <c r="C143" s="18">
        <f>'Fórmulas'!$B$15</f>
        <v/>
      </c>
      <c r="D143" s="22">
        <f>B143*'Fórmulas'!$B$4*'Fórmulas'!$B$8</f>
        <v/>
      </c>
      <c r="E143" s="22">
        <f>C143*'Fórmulas'!$B$4</f>
        <v/>
      </c>
      <c r="F143" s="22">
        <f>D143-E143</f>
        <v/>
      </c>
      <c r="G143" s="22">
        <f>G142+F143</f>
        <v/>
      </c>
    </row>
    <row r="144">
      <c r="A144" s="18" t="n">
        <v>140</v>
      </c>
      <c r="B144" s="19" t="n">
        <v>0</v>
      </c>
      <c r="C144" s="18">
        <f>'Fórmulas'!$B$15</f>
        <v/>
      </c>
      <c r="D144" s="22">
        <f>B144*'Fórmulas'!$B$4*'Fórmulas'!$B$8</f>
        <v/>
      </c>
      <c r="E144" s="22">
        <f>C144*'Fórmulas'!$B$4</f>
        <v/>
      </c>
      <c r="F144" s="22">
        <f>D144-E144</f>
        <v/>
      </c>
      <c r="G144" s="22">
        <f>G143+F144</f>
        <v/>
      </c>
    </row>
    <row r="145">
      <c r="A145" s="18" t="n">
        <v>141</v>
      </c>
      <c r="B145" s="19" t="n">
        <v>1</v>
      </c>
      <c r="C145" s="18">
        <f>'Fórmulas'!$B$15</f>
        <v/>
      </c>
      <c r="D145" s="22">
        <f>B145*'Fórmulas'!$B$4*'Fórmulas'!$B$8</f>
        <v/>
      </c>
      <c r="E145" s="22">
        <f>C145*'Fórmulas'!$B$4</f>
        <v/>
      </c>
      <c r="F145" s="22">
        <f>D145-E145</f>
        <v/>
      </c>
      <c r="G145" s="22">
        <f>G144+F145</f>
        <v/>
      </c>
    </row>
    <row r="146">
      <c r="A146" s="18" t="n">
        <v>142</v>
      </c>
      <c r="B146" s="19" t="n">
        <v>1</v>
      </c>
      <c r="C146" s="18">
        <f>'Fórmulas'!$B$15</f>
        <v/>
      </c>
      <c r="D146" s="22">
        <f>B146*'Fórmulas'!$B$4*'Fórmulas'!$B$8</f>
        <v/>
      </c>
      <c r="E146" s="22">
        <f>C146*'Fórmulas'!$B$4</f>
        <v/>
      </c>
      <c r="F146" s="22">
        <f>D146-E146</f>
        <v/>
      </c>
      <c r="G146" s="22">
        <f>G145+F146</f>
        <v/>
      </c>
    </row>
    <row r="147">
      <c r="A147" s="18" t="n">
        <v>143</v>
      </c>
      <c r="B147" s="19" t="n">
        <v>3</v>
      </c>
      <c r="C147" s="18">
        <f>'Fórmulas'!$B$15</f>
        <v/>
      </c>
      <c r="D147" s="22">
        <f>B147*'Fórmulas'!$B$4*'Fórmulas'!$B$8</f>
        <v/>
      </c>
      <c r="E147" s="22">
        <f>C147*'Fórmulas'!$B$4</f>
        <v/>
      </c>
      <c r="F147" s="22">
        <f>D147-E147</f>
        <v/>
      </c>
      <c r="G147" s="22">
        <f>G146+F147</f>
        <v/>
      </c>
    </row>
    <row r="148">
      <c r="A148" s="18" t="n">
        <v>144</v>
      </c>
      <c r="B148" s="19" t="n">
        <v>2</v>
      </c>
      <c r="C148" s="18">
        <f>'Fórmulas'!$B$15</f>
        <v/>
      </c>
      <c r="D148" s="22">
        <f>B148*'Fórmulas'!$B$4*'Fórmulas'!$B$8</f>
        <v/>
      </c>
      <c r="E148" s="22">
        <f>C148*'Fórmulas'!$B$4</f>
        <v/>
      </c>
      <c r="F148" s="22">
        <f>D148-E148</f>
        <v/>
      </c>
      <c r="G148" s="22">
        <f>G147+F148</f>
        <v/>
      </c>
    </row>
    <row r="149">
      <c r="A149" s="18" t="n">
        <v>145</v>
      </c>
      <c r="B149" s="19" t="n">
        <v>1</v>
      </c>
      <c r="C149" s="18">
        <f>'Fórmulas'!$B$15</f>
        <v/>
      </c>
      <c r="D149" s="22">
        <f>B149*'Fórmulas'!$B$4*'Fórmulas'!$B$8</f>
        <v/>
      </c>
      <c r="E149" s="22">
        <f>C149*'Fórmulas'!$B$4</f>
        <v/>
      </c>
      <c r="F149" s="22">
        <f>D149-E149</f>
        <v/>
      </c>
      <c r="G149" s="22">
        <f>G148+F149</f>
        <v/>
      </c>
    </row>
    <row r="150">
      <c r="A150" s="18" t="n">
        <v>146</v>
      </c>
      <c r="B150" s="19" t="n">
        <v>1</v>
      </c>
      <c r="C150" s="18">
        <f>'Fórmulas'!$B$15</f>
        <v/>
      </c>
      <c r="D150" s="22">
        <f>B150*'Fórmulas'!$B$4*'Fórmulas'!$B$8</f>
        <v/>
      </c>
      <c r="E150" s="22">
        <f>C150*'Fórmulas'!$B$4</f>
        <v/>
      </c>
      <c r="F150" s="22">
        <f>D150-E150</f>
        <v/>
      </c>
      <c r="G150" s="22">
        <f>G149+F150</f>
        <v/>
      </c>
    </row>
    <row r="151">
      <c r="A151" s="18" t="n">
        <v>147</v>
      </c>
      <c r="B151" s="19" t="n">
        <v>1</v>
      </c>
      <c r="C151" s="18">
        <f>'Fórmulas'!$B$15</f>
        <v/>
      </c>
      <c r="D151" s="22">
        <f>B151*'Fórmulas'!$B$4*'Fórmulas'!$B$8</f>
        <v/>
      </c>
      <c r="E151" s="22">
        <f>C151*'Fórmulas'!$B$4</f>
        <v/>
      </c>
      <c r="F151" s="22">
        <f>D151-E151</f>
        <v/>
      </c>
      <c r="G151" s="22">
        <f>G150+F151</f>
        <v/>
      </c>
    </row>
    <row r="152">
      <c r="A152" s="18" t="n">
        <v>148</v>
      </c>
      <c r="B152" s="19" t="n">
        <v>1</v>
      </c>
      <c r="C152" s="18">
        <f>'Fórmulas'!$B$15</f>
        <v/>
      </c>
      <c r="D152" s="22">
        <f>B152*'Fórmulas'!$B$4*'Fórmulas'!$B$8</f>
        <v/>
      </c>
      <c r="E152" s="22">
        <f>C152*'Fórmulas'!$B$4</f>
        <v/>
      </c>
      <c r="F152" s="22">
        <f>D152-E152</f>
        <v/>
      </c>
      <c r="G152" s="22">
        <f>G151+F152</f>
        <v/>
      </c>
    </row>
    <row r="153">
      <c r="A153" s="18" t="n">
        <v>149</v>
      </c>
      <c r="B153" s="19" t="n">
        <v>1</v>
      </c>
      <c r="C153" s="18">
        <f>'Fórmulas'!$B$15</f>
        <v/>
      </c>
      <c r="D153" s="22">
        <f>B153*'Fórmulas'!$B$4*'Fórmulas'!$B$8</f>
        <v/>
      </c>
      <c r="E153" s="22">
        <f>C153*'Fórmulas'!$B$4</f>
        <v/>
      </c>
      <c r="F153" s="22">
        <f>D153-E153</f>
        <v/>
      </c>
      <c r="G153" s="22">
        <f>G152+F153</f>
        <v/>
      </c>
    </row>
    <row r="154">
      <c r="A154" s="18" t="n">
        <v>150</v>
      </c>
      <c r="B154" s="19" t="n">
        <v>0</v>
      </c>
      <c r="C154" s="18">
        <f>'Fórmulas'!$B$15</f>
        <v/>
      </c>
      <c r="D154" s="22">
        <f>B154*'Fórmulas'!$B$4*'Fórmulas'!$B$8</f>
        <v/>
      </c>
      <c r="E154" s="22">
        <f>C154*'Fórmulas'!$B$4</f>
        <v/>
      </c>
      <c r="F154" s="22">
        <f>D154-E154</f>
        <v/>
      </c>
      <c r="G154" s="22">
        <f>G153+F154</f>
        <v/>
      </c>
    </row>
    <row r="155">
      <c r="A155" s="18" t="n">
        <v>151</v>
      </c>
      <c r="B155" s="19" t="n">
        <v>2</v>
      </c>
      <c r="C155" s="18">
        <f>'Fórmulas'!$B$15</f>
        <v/>
      </c>
      <c r="D155" s="22">
        <f>B155*'Fórmulas'!$B$4*'Fórmulas'!$B$8</f>
        <v/>
      </c>
      <c r="E155" s="22">
        <f>C155*'Fórmulas'!$B$4</f>
        <v/>
      </c>
      <c r="F155" s="22">
        <f>D155-E155</f>
        <v/>
      </c>
      <c r="G155" s="22">
        <f>G154+F155</f>
        <v/>
      </c>
    </row>
    <row r="156">
      <c r="A156" s="18" t="n">
        <v>152</v>
      </c>
      <c r="B156" s="19" t="n">
        <v>2</v>
      </c>
      <c r="C156" s="18">
        <f>'Fórmulas'!$B$15</f>
        <v/>
      </c>
      <c r="D156" s="22">
        <f>B156*'Fórmulas'!$B$4*'Fórmulas'!$B$8</f>
        <v/>
      </c>
      <c r="E156" s="22">
        <f>C156*'Fórmulas'!$B$4</f>
        <v/>
      </c>
      <c r="F156" s="22">
        <f>D156-E156</f>
        <v/>
      </c>
      <c r="G156" s="22">
        <f>G155+F156</f>
        <v/>
      </c>
    </row>
    <row r="157">
      <c r="A157" s="18" t="n">
        <v>153</v>
      </c>
      <c r="B157" s="19" t="n">
        <v>0</v>
      </c>
      <c r="C157" s="18">
        <f>'Fórmulas'!$B$15</f>
        <v/>
      </c>
      <c r="D157" s="22">
        <f>B157*'Fórmulas'!$B$4*'Fórmulas'!$B$8</f>
        <v/>
      </c>
      <c r="E157" s="22">
        <f>C157*'Fórmulas'!$B$4</f>
        <v/>
      </c>
      <c r="F157" s="22">
        <f>D157-E157</f>
        <v/>
      </c>
      <c r="G157" s="22">
        <f>G156+F157</f>
        <v/>
      </c>
    </row>
    <row r="158">
      <c r="A158" s="18" t="n">
        <v>154</v>
      </c>
      <c r="B158" s="19" t="n">
        <v>2</v>
      </c>
      <c r="C158" s="18">
        <f>'Fórmulas'!$B$15</f>
        <v/>
      </c>
      <c r="D158" s="22">
        <f>B158*'Fórmulas'!$B$4*'Fórmulas'!$B$8</f>
        <v/>
      </c>
      <c r="E158" s="22">
        <f>C158*'Fórmulas'!$B$4</f>
        <v/>
      </c>
      <c r="F158" s="22">
        <f>D158-E158</f>
        <v/>
      </c>
      <c r="G158" s="22">
        <f>G157+F158</f>
        <v/>
      </c>
    </row>
    <row r="159">
      <c r="A159" s="18" t="n">
        <v>155</v>
      </c>
      <c r="B159" s="19" t="n">
        <v>0</v>
      </c>
      <c r="C159" s="18">
        <f>'Fórmulas'!$B$15</f>
        <v/>
      </c>
      <c r="D159" s="22">
        <f>B159*'Fórmulas'!$B$4*'Fórmulas'!$B$8</f>
        <v/>
      </c>
      <c r="E159" s="22">
        <f>C159*'Fórmulas'!$B$4</f>
        <v/>
      </c>
      <c r="F159" s="22">
        <f>D159-E159</f>
        <v/>
      </c>
      <c r="G159" s="22">
        <f>G158+F159</f>
        <v/>
      </c>
    </row>
    <row r="160">
      <c r="A160" s="18" t="n">
        <v>156</v>
      </c>
      <c r="B160" s="19" t="n">
        <v>2</v>
      </c>
      <c r="C160" s="18">
        <f>'Fórmulas'!$B$15</f>
        <v/>
      </c>
      <c r="D160" s="22">
        <f>B160*'Fórmulas'!$B$4*'Fórmulas'!$B$8</f>
        <v/>
      </c>
      <c r="E160" s="22">
        <f>C160*'Fórmulas'!$B$4</f>
        <v/>
      </c>
      <c r="F160" s="22">
        <f>D160-E160</f>
        <v/>
      </c>
      <c r="G160" s="22">
        <f>G159+F160</f>
        <v/>
      </c>
    </row>
  </sheetData>
  <conditionalFormatting sqref="J7">
    <cfRule type="cellIs" priority="1" operator="equal" dxfId="0">
      <formula>"OK"</formula>
    </cfRule>
    <cfRule type="cellIs" priority="2" operator="equal" dxfId="1">
      <formula>"VERIFICAR"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24" customWidth="1" min="4" max="4"/>
    <col width="18" customWidth="1" min="5" max="5"/>
    <col width="34" customWidth="1" min="7" max="7"/>
    <col width="16" customWidth="1" min="8" max="8"/>
  </cols>
  <sheetData>
    <row r="1">
      <c r="A1" s="4" t="inlineStr">
        <is>
          <t>Se o mesmo dinheiro fosse investido (aplicado no início de cada período)</t>
        </is>
      </c>
    </row>
    <row r="3">
      <c r="A3" s="5" t="inlineStr">
        <is>
          <t>Período</t>
        </is>
      </c>
      <c r="B3" s="5" t="inlineStr">
        <is>
          <t>Saldo no início (R$)</t>
        </is>
      </c>
      <c r="C3" s="5" t="inlineStr">
        <is>
          <t>Depósito (R$)</t>
        </is>
      </c>
      <c r="D3" s="5" t="inlineStr">
        <is>
          <t>Rendimento do período (R$)</t>
        </is>
      </c>
      <c r="E3" s="5" t="inlineStr">
        <is>
          <t>Saldo no fim (R$)</t>
        </is>
      </c>
      <c r="G3" s="29" t="inlineStr">
        <is>
          <t>Conferência</t>
        </is>
      </c>
      <c r="H3" s="30" t="inlineStr"/>
    </row>
    <row r="4">
      <c r="A4" s="18" t="n">
        <v>1</v>
      </c>
      <c r="B4" s="22" t="n">
        <v>0</v>
      </c>
      <c r="C4" s="22">
        <f>'Fórmulas'!$B$23</f>
        <v/>
      </c>
      <c r="D4" s="22">
        <f>(B4+C4)*'Fórmulas'!$B$22</f>
        <v/>
      </c>
      <c r="E4" s="22">
        <f>B4+C4+D4</f>
        <v/>
      </c>
      <c r="G4" s="6" t="inlineStr">
        <is>
          <t>Saldo final, período a período (R$)</t>
        </is>
      </c>
      <c r="H4" s="22">
        <f>E159</f>
        <v/>
      </c>
    </row>
    <row r="5">
      <c r="A5" s="18" t="n">
        <v>2</v>
      </c>
      <c r="B5" s="22">
        <f>E4</f>
        <v/>
      </c>
      <c r="C5" s="22">
        <f>'Fórmulas'!$B$23</f>
        <v/>
      </c>
      <c r="D5" s="22">
        <f>(B5+C5)*'Fórmulas'!$B$22</f>
        <v/>
      </c>
      <c r="E5" s="22">
        <f>B5+C5+D5</f>
        <v/>
      </c>
      <c r="G5" s="6" t="inlineStr">
        <is>
          <t>Saldo final no Python (R$)</t>
        </is>
      </c>
      <c r="H5" s="23" t="n">
        <v>10845.2918809337</v>
      </c>
    </row>
    <row r="6">
      <c r="A6" s="18" t="n">
        <v>3</v>
      </c>
      <c r="B6" s="22">
        <f>E5</f>
        <v/>
      </c>
      <c r="C6" s="22">
        <f>'Fórmulas'!$B$23</f>
        <v/>
      </c>
      <c r="D6" s="22">
        <f>(B6+C6)*'Fórmulas'!$B$22</f>
        <v/>
      </c>
      <c r="E6" s="22">
        <f>B6+C6+D6</f>
        <v/>
      </c>
      <c r="G6" s="6" t="inlineStr">
        <is>
          <t>Situação</t>
        </is>
      </c>
      <c r="H6" s="6">
        <f>IF(ABS(H4-H5)&lt;=0.01,"OK","VERIFICAR")</f>
        <v/>
      </c>
    </row>
    <row r="7">
      <c r="A7" s="18" t="n">
        <v>4</v>
      </c>
      <c r="B7" s="22">
        <f>E6</f>
        <v/>
      </c>
      <c r="C7" s="22">
        <f>'Fórmulas'!$B$23</f>
        <v/>
      </c>
      <c r="D7" s="22">
        <f>(B7+C7)*'Fórmulas'!$B$22</f>
        <v/>
      </c>
      <c r="E7" s="22">
        <f>B7+C7+D7</f>
        <v/>
      </c>
    </row>
    <row r="8">
      <c r="A8" s="18" t="n">
        <v>5</v>
      </c>
      <c r="B8" s="22">
        <f>E7</f>
        <v/>
      </c>
      <c r="C8" s="22">
        <f>'Fórmulas'!$B$23</f>
        <v/>
      </c>
      <c r="D8" s="22">
        <f>(B8+C8)*'Fórmulas'!$B$22</f>
        <v/>
      </c>
      <c r="E8" s="22">
        <f>B8+C8+D8</f>
        <v/>
      </c>
    </row>
    <row r="9">
      <c r="A9" s="18" t="n">
        <v>6</v>
      </c>
      <c r="B9" s="22">
        <f>E8</f>
        <v/>
      </c>
      <c r="C9" s="22">
        <f>'Fórmulas'!$B$23</f>
        <v/>
      </c>
      <c r="D9" s="22">
        <f>(B9+C9)*'Fórmulas'!$B$22</f>
        <v/>
      </c>
      <c r="E9" s="22">
        <f>B9+C9+D9</f>
        <v/>
      </c>
    </row>
    <row r="10">
      <c r="A10" s="18" t="n">
        <v>7</v>
      </c>
      <c r="B10" s="22">
        <f>E9</f>
        <v/>
      </c>
      <c r="C10" s="22">
        <f>'Fórmulas'!$B$23</f>
        <v/>
      </c>
      <c r="D10" s="22">
        <f>(B10+C10)*'Fórmulas'!$B$22</f>
        <v/>
      </c>
      <c r="E10" s="22">
        <f>B10+C10+D10</f>
        <v/>
      </c>
    </row>
    <row r="11">
      <c r="A11" s="18" t="n">
        <v>8</v>
      </c>
      <c r="B11" s="22">
        <f>E10</f>
        <v/>
      </c>
      <c r="C11" s="22">
        <f>'Fórmulas'!$B$23</f>
        <v/>
      </c>
      <c r="D11" s="22">
        <f>(B11+C11)*'Fórmulas'!$B$22</f>
        <v/>
      </c>
      <c r="E11" s="22">
        <f>B11+C11+D11</f>
        <v/>
      </c>
    </row>
    <row r="12">
      <c r="A12" s="18" t="n">
        <v>9</v>
      </c>
      <c r="B12" s="22">
        <f>E11</f>
        <v/>
      </c>
      <c r="C12" s="22">
        <f>'Fórmulas'!$B$23</f>
        <v/>
      </c>
      <c r="D12" s="22">
        <f>(B12+C12)*'Fórmulas'!$B$22</f>
        <v/>
      </c>
      <c r="E12" s="22">
        <f>B12+C12+D12</f>
        <v/>
      </c>
    </row>
    <row r="13">
      <c r="A13" s="18" t="n">
        <v>10</v>
      </c>
      <c r="B13" s="22">
        <f>E12</f>
        <v/>
      </c>
      <c r="C13" s="22">
        <f>'Fórmulas'!$B$23</f>
        <v/>
      </c>
      <c r="D13" s="22">
        <f>(B13+C13)*'Fórmulas'!$B$22</f>
        <v/>
      </c>
      <c r="E13" s="22">
        <f>B13+C13+D13</f>
        <v/>
      </c>
    </row>
    <row r="14">
      <c r="A14" s="18" t="n">
        <v>11</v>
      </c>
      <c r="B14" s="22">
        <f>E13</f>
        <v/>
      </c>
      <c r="C14" s="22">
        <f>'Fórmulas'!$B$23</f>
        <v/>
      </c>
      <c r="D14" s="22">
        <f>(B14+C14)*'Fórmulas'!$B$22</f>
        <v/>
      </c>
      <c r="E14" s="22">
        <f>B14+C14+D14</f>
        <v/>
      </c>
    </row>
    <row r="15">
      <c r="A15" s="18" t="n">
        <v>12</v>
      </c>
      <c r="B15" s="22">
        <f>E14</f>
        <v/>
      </c>
      <c r="C15" s="22">
        <f>'Fórmulas'!$B$23</f>
        <v/>
      </c>
      <c r="D15" s="22">
        <f>(B15+C15)*'Fórmulas'!$B$22</f>
        <v/>
      </c>
      <c r="E15" s="22">
        <f>B15+C15+D15</f>
        <v/>
      </c>
    </row>
    <row r="16">
      <c r="A16" s="18" t="n">
        <v>13</v>
      </c>
      <c r="B16" s="22">
        <f>E15</f>
        <v/>
      </c>
      <c r="C16" s="22">
        <f>'Fórmulas'!$B$23</f>
        <v/>
      </c>
      <c r="D16" s="22">
        <f>(B16+C16)*'Fórmulas'!$B$22</f>
        <v/>
      </c>
      <c r="E16" s="22">
        <f>B16+C16+D16</f>
        <v/>
      </c>
    </row>
    <row r="17">
      <c r="A17" s="18" t="n">
        <v>14</v>
      </c>
      <c r="B17" s="22">
        <f>E16</f>
        <v/>
      </c>
      <c r="C17" s="22">
        <f>'Fórmulas'!$B$23</f>
        <v/>
      </c>
      <c r="D17" s="22">
        <f>(B17+C17)*'Fórmulas'!$B$22</f>
        <v/>
      </c>
      <c r="E17" s="22">
        <f>B17+C17+D17</f>
        <v/>
      </c>
    </row>
    <row r="18">
      <c r="A18" s="18" t="n">
        <v>15</v>
      </c>
      <c r="B18" s="22">
        <f>E17</f>
        <v/>
      </c>
      <c r="C18" s="22">
        <f>'Fórmulas'!$B$23</f>
        <v/>
      </c>
      <c r="D18" s="22">
        <f>(B18+C18)*'Fórmulas'!$B$22</f>
        <v/>
      </c>
      <c r="E18" s="22">
        <f>B18+C18+D18</f>
        <v/>
      </c>
    </row>
    <row r="19">
      <c r="A19" s="18" t="n">
        <v>16</v>
      </c>
      <c r="B19" s="22">
        <f>E18</f>
        <v/>
      </c>
      <c r="C19" s="22">
        <f>'Fórmulas'!$B$23</f>
        <v/>
      </c>
      <c r="D19" s="22">
        <f>(B19+C19)*'Fórmulas'!$B$22</f>
        <v/>
      </c>
      <c r="E19" s="22">
        <f>B19+C19+D19</f>
        <v/>
      </c>
    </row>
    <row r="20">
      <c r="A20" s="18" t="n">
        <v>17</v>
      </c>
      <c r="B20" s="22">
        <f>E19</f>
        <v/>
      </c>
      <c r="C20" s="22">
        <f>'Fórmulas'!$B$23</f>
        <v/>
      </c>
      <c r="D20" s="22">
        <f>(B20+C20)*'Fórmulas'!$B$22</f>
        <v/>
      </c>
      <c r="E20" s="22">
        <f>B20+C20+D20</f>
        <v/>
      </c>
    </row>
    <row r="21">
      <c r="A21" s="18" t="n">
        <v>18</v>
      </c>
      <c r="B21" s="22">
        <f>E20</f>
        <v/>
      </c>
      <c r="C21" s="22">
        <f>'Fórmulas'!$B$23</f>
        <v/>
      </c>
      <c r="D21" s="22">
        <f>(B21+C21)*'Fórmulas'!$B$22</f>
        <v/>
      </c>
      <c r="E21" s="22">
        <f>B21+C21+D21</f>
        <v/>
      </c>
    </row>
    <row r="22">
      <c r="A22" s="18" t="n">
        <v>19</v>
      </c>
      <c r="B22" s="22">
        <f>E21</f>
        <v/>
      </c>
      <c r="C22" s="22">
        <f>'Fórmulas'!$B$23</f>
        <v/>
      </c>
      <c r="D22" s="22">
        <f>(B22+C22)*'Fórmulas'!$B$22</f>
        <v/>
      </c>
      <c r="E22" s="22">
        <f>B22+C22+D22</f>
        <v/>
      </c>
    </row>
    <row r="23">
      <c r="A23" s="18" t="n">
        <v>20</v>
      </c>
      <c r="B23" s="22">
        <f>E22</f>
        <v/>
      </c>
      <c r="C23" s="22">
        <f>'Fórmulas'!$B$23</f>
        <v/>
      </c>
      <c r="D23" s="22">
        <f>(B23+C23)*'Fórmulas'!$B$22</f>
        <v/>
      </c>
      <c r="E23" s="22">
        <f>B23+C23+D23</f>
        <v/>
      </c>
    </row>
    <row r="24">
      <c r="A24" s="18" t="n">
        <v>21</v>
      </c>
      <c r="B24" s="22">
        <f>E23</f>
        <v/>
      </c>
      <c r="C24" s="22">
        <f>'Fórmulas'!$B$23</f>
        <v/>
      </c>
      <c r="D24" s="22">
        <f>(B24+C24)*'Fórmulas'!$B$22</f>
        <v/>
      </c>
      <c r="E24" s="22">
        <f>B24+C24+D24</f>
        <v/>
      </c>
    </row>
    <row r="25">
      <c r="A25" s="18" t="n">
        <v>22</v>
      </c>
      <c r="B25" s="22">
        <f>E24</f>
        <v/>
      </c>
      <c r="C25" s="22">
        <f>'Fórmulas'!$B$23</f>
        <v/>
      </c>
      <c r="D25" s="22">
        <f>(B25+C25)*'Fórmulas'!$B$22</f>
        <v/>
      </c>
      <c r="E25" s="22">
        <f>B25+C25+D25</f>
        <v/>
      </c>
    </row>
    <row r="26">
      <c r="A26" s="18" t="n">
        <v>23</v>
      </c>
      <c r="B26" s="22">
        <f>E25</f>
        <v/>
      </c>
      <c r="C26" s="22">
        <f>'Fórmulas'!$B$23</f>
        <v/>
      </c>
      <c r="D26" s="22">
        <f>(B26+C26)*'Fórmulas'!$B$22</f>
        <v/>
      </c>
      <c r="E26" s="22">
        <f>B26+C26+D26</f>
        <v/>
      </c>
    </row>
    <row r="27">
      <c r="A27" s="18" t="n">
        <v>24</v>
      </c>
      <c r="B27" s="22">
        <f>E26</f>
        <v/>
      </c>
      <c r="C27" s="22">
        <f>'Fórmulas'!$B$23</f>
        <v/>
      </c>
      <c r="D27" s="22">
        <f>(B27+C27)*'Fórmulas'!$B$22</f>
        <v/>
      </c>
      <c r="E27" s="22">
        <f>B27+C27+D27</f>
        <v/>
      </c>
    </row>
    <row r="28">
      <c r="A28" s="18" t="n">
        <v>25</v>
      </c>
      <c r="B28" s="22">
        <f>E27</f>
        <v/>
      </c>
      <c r="C28" s="22">
        <f>'Fórmulas'!$B$23</f>
        <v/>
      </c>
      <c r="D28" s="22">
        <f>(B28+C28)*'Fórmulas'!$B$22</f>
        <v/>
      </c>
      <c r="E28" s="22">
        <f>B28+C28+D28</f>
        <v/>
      </c>
    </row>
    <row r="29">
      <c r="A29" s="18" t="n">
        <v>26</v>
      </c>
      <c r="B29" s="22">
        <f>E28</f>
        <v/>
      </c>
      <c r="C29" s="22">
        <f>'Fórmulas'!$B$23</f>
        <v/>
      </c>
      <c r="D29" s="22">
        <f>(B29+C29)*'Fórmulas'!$B$22</f>
        <v/>
      </c>
      <c r="E29" s="22">
        <f>B29+C29+D29</f>
        <v/>
      </c>
    </row>
    <row r="30">
      <c r="A30" s="18" t="n">
        <v>27</v>
      </c>
      <c r="B30" s="22">
        <f>E29</f>
        <v/>
      </c>
      <c r="C30" s="22">
        <f>'Fórmulas'!$B$23</f>
        <v/>
      </c>
      <c r="D30" s="22">
        <f>(B30+C30)*'Fórmulas'!$B$22</f>
        <v/>
      </c>
      <c r="E30" s="22">
        <f>B30+C30+D30</f>
        <v/>
      </c>
    </row>
    <row r="31">
      <c r="A31" s="18" t="n">
        <v>28</v>
      </c>
      <c r="B31" s="22">
        <f>E30</f>
        <v/>
      </c>
      <c r="C31" s="22">
        <f>'Fórmulas'!$B$23</f>
        <v/>
      </c>
      <c r="D31" s="22">
        <f>(B31+C31)*'Fórmulas'!$B$22</f>
        <v/>
      </c>
      <c r="E31" s="22">
        <f>B31+C31+D31</f>
        <v/>
      </c>
    </row>
    <row r="32">
      <c r="A32" s="18" t="n">
        <v>29</v>
      </c>
      <c r="B32" s="22">
        <f>E31</f>
        <v/>
      </c>
      <c r="C32" s="22">
        <f>'Fórmulas'!$B$23</f>
        <v/>
      </c>
      <c r="D32" s="22">
        <f>(B32+C32)*'Fórmulas'!$B$22</f>
        <v/>
      </c>
      <c r="E32" s="22">
        <f>B32+C32+D32</f>
        <v/>
      </c>
    </row>
    <row r="33">
      <c r="A33" s="18" t="n">
        <v>30</v>
      </c>
      <c r="B33" s="22">
        <f>E32</f>
        <v/>
      </c>
      <c r="C33" s="22">
        <f>'Fórmulas'!$B$23</f>
        <v/>
      </c>
      <c r="D33" s="22">
        <f>(B33+C33)*'Fórmulas'!$B$22</f>
        <v/>
      </c>
      <c r="E33" s="22">
        <f>B33+C33+D33</f>
        <v/>
      </c>
    </row>
    <row r="34">
      <c r="A34" s="18" t="n">
        <v>31</v>
      </c>
      <c r="B34" s="22">
        <f>E33</f>
        <v/>
      </c>
      <c r="C34" s="22">
        <f>'Fórmulas'!$B$23</f>
        <v/>
      </c>
      <c r="D34" s="22">
        <f>(B34+C34)*'Fórmulas'!$B$22</f>
        <v/>
      </c>
      <c r="E34" s="22">
        <f>B34+C34+D34</f>
        <v/>
      </c>
    </row>
    <row r="35">
      <c r="A35" s="18" t="n">
        <v>32</v>
      </c>
      <c r="B35" s="22">
        <f>E34</f>
        <v/>
      </c>
      <c r="C35" s="22">
        <f>'Fórmulas'!$B$23</f>
        <v/>
      </c>
      <c r="D35" s="22">
        <f>(B35+C35)*'Fórmulas'!$B$22</f>
        <v/>
      </c>
      <c r="E35" s="22">
        <f>B35+C35+D35</f>
        <v/>
      </c>
    </row>
    <row r="36">
      <c r="A36" s="18" t="n">
        <v>33</v>
      </c>
      <c r="B36" s="22">
        <f>E35</f>
        <v/>
      </c>
      <c r="C36" s="22">
        <f>'Fórmulas'!$B$23</f>
        <v/>
      </c>
      <c r="D36" s="22">
        <f>(B36+C36)*'Fórmulas'!$B$22</f>
        <v/>
      </c>
      <c r="E36" s="22">
        <f>B36+C36+D36</f>
        <v/>
      </c>
    </row>
    <row r="37">
      <c r="A37" s="18" t="n">
        <v>34</v>
      </c>
      <c r="B37" s="22">
        <f>E36</f>
        <v/>
      </c>
      <c r="C37" s="22">
        <f>'Fórmulas'!$B$23</f>
        <v/>
      </c>
      <c r="D37" s="22">
        <f>(B37+C37)*'Fórmulas'!$B$22</f>
        <v/>
      </c>
      <c r="E37" s="22">
        <f>B37+C37+D37</f>
        <v/>
      </c>
    </row>
    <row r="38">
      <c r="A38" s="18" t="n">
        <v>35</v>
      </c>
      <c r="B38" s="22">
        <f>E37</f>
        <v/>
      </c>
      <c r="C38" s="22">
        <f>'Fórmulas'!$B$23</f>
        <v/>
      </c>
      <c r="D38" s="22">
        <f>(B38+C38)*'Fórmulas'!$B$22</f>
        <v/>
      </c>
      <c r="E38" s="22">
        <f>B38+C38+D38</f>
        <v/>
      </c>
    </row>
    <row r="39">
      <c r="A39" s="18" t="n">
        <v>36</v>
      </c>
      <c r="B39" s="22">
        <f>E38</f>
        <v/>
      </c>
      <c r="C39" s="22">
        <f>'Fórmulas'!$B$23</f>
        <v/>
      </c>
      <c r="D39" s="22">
        <f>(B39+C39)*'Fórmulas'!$B$22</f>
        <v/>
      </c>
      <c r="E39" s="22">
        <f>B39+C39+D39</f>
        <v/>
      </c>
    </row>
    <row r="40">
      <c r="A40" s="18" t="n">
        <v>37</v>
      </c>
      <c r="B40" s="22">
        <f>E39</f>
        <v/>
      </c>
      <c r="C40" s="22">
        <f>'Fórmulas'!$B$23</f>
        <v/>
      </c>
      <c r="D40" s="22">
        <f>(B40+C40)*'Fórmulas'!$B$22</f>
        <v/>
      </c>
      <c r="E40" s="22">
        <f>B40+C40+D40</f>
        <v/>
      </c>
    </row>
    <row r="41">
      <c r="A41" s="18" t="n">
        <v>38</v>
      </c>
      <c r="B41" s="22">
        <f>E40</f>
        <v/>
      </c>
      <c r="C41" s="22">
        <f>'Fórmulas'!$B$23</f>
        <v/>
      </c>
      <c r="D41" s="22">
        <f>(B41+C41)*'Fórmulas'!$B$22</f>
        <v/>
      </c>
      <c r="E41" s="22">
        <f>B41+C41+D41</f>
        <v/>
      </c>
    </row>
    <row r="42">
      <c r="A42" s="18" t="n">
        <v>39</v>
      </c>
      <c r="B42" s="22">
        <f>E41</f>
        <v/>
      </c>
      <c r="C42" s="22">
        <f>'Fórmulas'!$B$23</f>
        <v/>
      </c>
      <c r="D42" s="22">
        <f>(B42+C42)*'Fórmulas'!$B$22</f>
        <v/>
      </c>
      <c r="E42" s="22">
        <f>B42+C42+D42</f>
        <v/>
      </c>
    </row>
    <row r="43">
      <c r="A43" s="18" t="n">
        <v>40</v>
      </c>
      <c r="B43" s="22">
        <f>E42</f>
        <v/>
      </c>
      <c r="C43" s="22">
        <f>'Fórmulas'!$B$23</f>
        <v/>
      </c>
      <c r="D43" s="22">
        <f>(B43+C43)*'Fórmulas'!$B$22</f>
        <v/>
      </c>
      <c r="E43" s="22">
        <f>B43+C43+D43</f>
        <v/>
      </c>
    </row>
    <row r="44">
      <c r="A44" s="18" t="n">
        <v>41</v>
      </c>
      <c r="B44" s="22">
        <f>E43</f>
        <v/>
      </c>
      <c r="C44" s="22">
        <f>'Fórmulas'!$B$23</f>
        <v/>
      </c>
      <c r="D44" s="22">
        <f>(B44+C44)*'Fórmulas'!$B$22</f>
        <v/>
      </c>
      <c r="E44" s="22">
        <f>B44+C44+D44</f>
        <v/>
      </c>
    </row>
    <row r="45">
      <c r="A45" s="18" t="n">
        <v>42</v>
      </c>
      <c r="B45" s="22">
        <f>E44</f>
        <v/>
      </c>
      <c r="C45" s="22">
        <f>'Fórmulas'!$B$23</f>
        <v/>
      </c>
      <c r="D45" s="22">
        <f>(B45+C45)*'Fórmulas'!$B$22</f>
        <v/>
      </c>
      <c r="E45" s="22">
        <f>B45+C45+D45</f>
        <v/>
      </c>
    </row>
    <row r="46">
      <c r="A46" s="18" t="n">
        <v>43</v>
      </c>
      <c r="B46" s="22">
        <f>E45</f>
        <v/>
      </c>
      <c r="C46" s="22">
        <f>'Fórmulas'!$B$23</f>
        <v/>
      </c>
      <c r="D46" s="22">
        <f>(B46+C46)*'Fórmulas'!$B$22</f>
        <v/>
      </c>
      <c r="E46" s="22">
        <f>B46+C46+D46</f>
        <v/>
      </c>
    </row>
    <row r="47">
      <c r="A47" s="18" t="n">
        <v>44</v>
      </c>
      <c r="B47" s="22">
        <f>E46</f>
        <v/>
      </c>
      <c r="C47" s="22">
        <f>'Fórmulas'!$B$23</f>
        <v/>
      </c>
      <c r="D47" s="22">
        <f>(B47+C47)*'Fórmulas'!$B$22</f>
        <v/>
      </c>
      <c r="E47" s="22">
        <f>B47+C47+D47</f>
        <v/>
      </c>
    </row>
    <row r="48">
      <c r="A48" s="18" t="n">
        <v>45</v>
      </c>
      <c r="B48" s="22">
        <f>E47</f>
        <v/>
      </c>
      <c r="C48" s="22">
        <f>'Fórmulas'!$B$23</f>
        <v/>
      </c>
      <c r="D48" s="22">
        <f>(B48+C48)*'Fórmulas'!$B$22</f>
        <v/>
      </c>
      <c r="E48" s="22">
        <f>B48+C48+D48</f>
        <v/>
      </c>
    </row>
    <row r="49">
      <c r="A49" s="18" t="n">
        <v>46</v>
      </c>
      <c r="B49" s="22">
        <f>E48</f>
        <v/>
      </c>
      <c r="C49" s="22">
        <f>'Fórmulas'!$B$23</f>
        <v/>
      </c>
      <c r="D49" s="22">
        <f>(B49+C49)*'Fórmulas'!$B$22</f>
        <v/>
      </c>
      <c r="E49" s="22">
        <f>B49+C49+D49</f>
        <v/>
      </c>
    </row>
    <row r="50">
      <c r="A50" s="18" t="n">
        <v>47</v>
      </c>
      <c r="B50" s="22">
        <f>E49</f>
        <v/>
      </c>
      <c r="C50" s="22">
        <f>'Fórmulas'!$B$23</f>
        <v/>
      </c>
      <c r="D50" s="22">
        <f>(B50+C50)*'Fórmulas'!$B$22</f>
        <v/>
      </c>
      <c r="E50" s="22">
        <f>B50+C50+D50</f>
        <v/>
      </c>
    </row>
    <row r="51">
      <c r="A51" s="18" t="n">
        <v>48</v>
      </c>
      <c r="B51" s="22">
        <f>E50</f>
        <v/>
      </c>
      <c r="C51" s="22">
        <f>'Fórmulas'!$B$23</f>
        <v/>
      </c>
      <c r="D51" s="22">
        <f>(B51+C51)*'Fórmulas'!$B$22</f>
        <v/>
      </c>
      <c r="E51" s="22">
        <f>B51+C51+D51</f>
        <v/>
      </c>
    </row>
    <row r="52">
      <c r="A52" s="18" t="n">
        <v>49</v>
      </c>
      <c r="B52" s="22">
        <f>E51</f>
        <v/>
      </c>
      <c r="C52" s="22">
        <f>'Fórmulas'!$B$23</f>
        <v/>
      </c>
      <c r="D52" s="22">
        <f>(B52+C52)*'Fórmulas'!$B$22</f>
        <v/>
      </c>
      <c r="E52" s="22">
        <f>B52+C52+D52</f>
        <v/>
      </c>
    </row>
    <row r="53">
      <c r="A53" s="18" t="n">
        <v>50</v>
      </c>
      <c r="B53" s="22">
        <f>E52</f>
        <v/>
      </c>
      <c r="C53" s="22">
        <f>'Fórmulas'!$B$23</f>
        <v/>
      </c>
      <c r="D53" s="22">
        <f>(B53+C53)*'Fórmulas'!$B$22</f>
        <v/>
      </c>
      <c r="E53" s="22">
        <f>B53+C53+D53</f>
        <v/>
      </c>
    </row>
    <row r="54">
      <c r="A54" s="18" t="n">
        <v>51</v>
      </c>
      <c r="B54" s="22">
        <f>E53</f>
        <v/>
      </c>
      <c r="C54" s="22">
        <f>'Fórmulas'!$B$23</f>
        <v/>
      </c>
      <c r="D54" s="22">
        <f>(B54+C54)*'Fórmulas'!$B$22</f>
        <v/>
      </c>
      <c r="E54" s="22">
        <f>B54+C54+D54</f>
        <v/>
      </c>
    </row>
    <row r="55">
      <c r="A55" s="18" t="n">
        <v>52</v>
      </c>
      <c r="B55" s="22">
        <f>E54</f>
        <v/>
      </c>
      <c r="C55" s="22">
        <f>'Fórmulas'!$B$23</f>
        <v/>
      </c>
      <c r="D55" s="22">
        <f>(B55+C55)*'Fórmulas'!$B$22</f>
        <v/>
      </c>
      <c r="E55" s="22">
        <f>B55+C55+D55</f>
        <v/>
      </c>
    </row>
    <row r="56">
      <c r="A56" s="18" t="n">
        <v>53</v>
      </c>
      <c r="B56" s="22">
        <f>E55</f>
        <v/>
      </c>
      <c r="C56" s="22">
        <f>'Fórmulas'!$B$23</f>
        <v/>
      </c>
      <c r="D56" s="22">
        <f>(B56+C56)*'Fórmulas'!$B$22</f>
        <v/>
      </c>
      <c r="E56" s="22">
        <f>B56+C56+D56</f>
        <v/>
      </c>
    </row>
    <row r="57">
      <c r="A57" s="18" t="n">
        <v>54</v>
      </c>
      <c r="B57" s="22">
        <f>E56</f>
        <v/>
      </c>
      <c r="C57" s="22">
        <f>'Fórmulas'!$B$23</f>
        <v/>
      </c>
      <c r="D57" s="22">
        <f>(B57+C57)*'Fórmulas'!$B$22</f>
        <v/>
      </c>
      <c r="E57" s="22">
        <f>B57+C57+D57</f>
        <v/>
      </c>
    </row>
    <row r="58">
      <c r="A58" s="18" t="n">
        <v>55</v>
      </c>
      <c r="B58" s="22">
        <f>E57</f>
        <v/>
      </c>
      <c r="C58" s="22">
        <f>'Fórmulas'!$B$23</f>
        <v/>
      </c>
      <c r="D58" s="22">
        <f>(B58+C58)*'Fórmulas'!$B$22</f>
        <v/>
      </c>
      <c r="E58" s="22">
        <f>B58+C58+D58</f>
        <v/>
      </c>
    </row>
    <row r="59">
      <c r="A59" s="18" t="n">
        <v>56</v>
      </c>
      <c r="B59" s="22">
        <f>E58</f>
        <v/>
      </c>
      <c r="C59" s="22">
        <f>'Fórmulas'!$B$23</f>
        <v/>
      </c>
      <c r="D59" s="22">
        <f>(B59+C59)*'Fórmulas'!$B$22</f>
        <v/>
      </c>
      <c r="E59" s="22">
        <f>B59+C59+D59</f>
        <v/>
      </c>
    </row>
    <row r="60">
      <c r="A60" s="18" t="n">
        <v>57</v>
      </c>
      <c r="B60" s="22">
        <f>E59</f>
        <v/>
      </c>
      <c r="C60" s="22">
        <f>'Fórmulas'!$B$23</f>
        <v/>
      </c>
      <c r="D60" s="22">
        <f>(B60+C60)*'Fórmulas'!$B$22</f>
        <v/>
      </c>
      <c r="E60" s="22">
        <f>B60+C60+D60</f>
        <v/>
      </c>
    </row>
    <row r="61">
      <c r="A61" s="18" t="n">
        <v>58</v>
      </c>
      <c r="B61" s="22">
        <f>E60</f>
        <v/>
      </c>
      <c r="C61" s="22">
        <f>'Fórmulas'!$B$23</f>
        <v/>
      </c>
      <c r="D61" s="22">
        <f>(B61+C61)*'Fórmulas'!$B$22</f>
        <v/>
      </c>
      <c r="E61" s="22">
        <f>B61+C61+D61</f>
        <v/>
      </c>
    </row>
    <row r="62">
      <c r="A62" s="18" t="n">
        <v>59</v>
      </c>
      <c r="B62" s="22">
        <f>E61</f>
        <v/>
      </c>
      <c r="C62" s="22">
        <f>'Fórmulas'!$B$23</f>
        <v/>
      </c>
      <c r="D62" s="22">
        <f>(B62+C62)*'Fórmulas'!$B$22</f>
        <v/>
      </c>
      <c r="E62" s="22">
        <f>B62+C62+D62</f>
        <v/>
      </c>
    </row>
    <row r="63">
      <c r="A63" s="18" t="n">
        <v>60</v>
      </c>
      <c r="B63" s="22">
        <f>E62</f>
        <v/>
      </c>
      <c r="C63" s="22">
        <f>'Fórmulas'!$B$23</f>
        <v/>
      </c>
      <c r="D63" s="22">
        <f>(B63+C63)*'Fórmulas'!$B$22</f>
        <v/>
      </c>
      <c r="E63" s="22">
        <f>B63+C63+D63</f>
        <v/>
      </c>
    </row>
    <row r="64">
      <c r="A64" s="18" t="n">
        <v>61</v>
      </c>
      <c r="B64" s="22">
        <f>E63</f>
        <v/>
      </c>
      <c r="C64" s="22">
        <f>'Fórmulas'!$B$23</f>
        <v/>
      </c>
      <c r="D64" s="22">
        <f>(B64+C64)*'Fórmulas'!$B$22</f>
        <v/>
      </c>
      <c r="E64" s="22">
        <f>B64+C64+D64</f>
        <v/>
      </c>
    </row>
    <row r="65">
      <c r="A65" s="18" t="n">
        <v>62</v>
      </c>
      <c r="B65" s="22">
        <f>E64</f>
        <v/>
      </c>
      <c r="C65" s="22">
        <f>'Fórmulas'!$B$23</f>
        <v/>
      </c>
      <c r="D65" s="22">
        <f>(B65+C65)*'Fórmulas'!$B$22</f>
        <v/>
      </c>
      <c r="E65" s="22">
        <f>B65+C65+D65</f>
        <v/>
      </c>
    </row>
    <row r="66">
      <c r="A66" s="18" t="n">
        <v>63</v>
      </c>
      <c r="B66" s="22">
        <f>E65</f>
        <v/>
      </c>
      <c r="C66" s="22">
        <f>'Fórmulas'!$B$23</f>
        <v/>
      </c>
      <c r="D66" s="22">
        <f>(B66+C66)*'Fórmulas'!$B$22</f>
        <v/>
      </c>
      <c r="E66" s="22">
        <f>B66+C66+D66</f>
        <v/>
      </c>
    </row>
    <row r="67">
      <c r="A67" s="18" t="n">
        <v>64</v>
      </c>
      <c r="B67" s="22">
        <f>E66</f>
        <v/>
      </c>
      <c r="C67" s="22">
        <f>'Fórmulas'!$B$23</f>
        <v/>
      </c>
      <c r="D67" s="22">
        <f>(B67+C67)*'Fórmulas'!$B$22</f>
        <v/>
      </c>
      <c r="E67" s="22">
        <f>B67+C67+D67</f>
        <v/>
      </c>
    </row>
    <row r="68">
      <c r="A68" s="18" t="n">
        <v>65</v>
      </c>
      <c r="B68" s="22">
        <f>E67</f>
        <v/>
      </c>
      <c r="C68" s="22">
        <f>'Fórmulas'!$B$23</f>
        <v/>
      </c>
      <c r="D68" s="22">
        <f>(B68+C68)*'Fórmulas'!$B$22</f>
        <v/>
      </c>
      <c r="E68" s="22">
        <f>B68+C68+D68</f>
        <v/>
      </c>
    </row>
    <row r="69">
      <c r="A69" s="18" t="n">
        <v>66</v>
      </c>
      <c r="B69" s="22">
        <f>E68</f>
        <v/>
      </c>
      <c r="C69" s="22">
        <f>'Fórmulas'!$B$23</f>
        <v/>
      </c>
      <c r="D69" s="22">
        <f>(B69+C69)*'Fórmulas'!$B$22</f>
        <v/>
      </c>
      <c r="E69" s="22">
        <f>B69+C69+D69</f>
        <v/>
      </c>
    </row>
    <row r="70">
      <c r="A70" s="18" t="n">
        <v>67</v>
      </c>
      <c r="B70" s="22">
        <f>E69</f>
        <v/>
      </c>
      <c r="C70" s="22">
        <f>'Fórmulas'!$B$23</f>
        <v/>
      </c>
      <c r="D70" s="22">
        <f>(B70+C70)*'Fórmulas'!$B$22</f>
        <v/>
      </c>
      <c r="E70" s="22">
        <f>B70+C70+D70</f>
        <v/>
      </c>
    </row>
    <row r="71">
      <c r="A71" s="18" t="n">
        <v>68</v>
      </c>
      <c r="B71" s="22">
        <f>E70</f>
        <v/>
      </c>
      <c r="C71" s="22">
        <f>'Fórmulas'!$B$23</f>
        <v/>
      </c>
      <c r="D71" s="22">
        <f>(B71+C71)*'Fórmulas'!$B$22</f>
        <v/>
      </c>
      <c r="E71" s="22">
        <f>B71+C71+D71</f>
        <v/>
      </c>
    </row>
    <row r="72">
      <c r="A72" s="18" t="n">
        <v>69</v>
      </c>
      <c r="B72" s="22">
        <f>E71</f>
        <v/>
      </c>
      <c r="C72" s="22">
        <f>'Fórmulas'!$B$23</f>
        <v/>
      </c>
      <c r="D72" s="22">
        <f>(B72+C72)*'Fórmulas'!$B$22</f>
        <v/>
      </c>
      <c r="E72" s="22">
        <f>B72+C72+D72</f>
        <v/>
      </c>
    </row>
    <row r="73">
      <c r="A73" s="18" t="n">
        <v>70</v>
      </c>
      <c r="B73" s="22">
        <f>E72</f>
        <v/>
      </c>
      <c r="C73" s="22">
        <f>'Fórmulas'!$B$23</f>
        <v/>
      </c>
      <c r="D73" s="22">
        <f>(B73+C73)*'Fórmulas'!$B$22</f>
        <v/>
      </c>
      <c r="E73" s="22">
        <f>B73+C73+D73</f>
        <v/>
      </c>
    </row>
    <row r="74">
      <c r="A74" s="18" t="n">
        <v>71</v>
      </c>
      <c r="B74" s="22">
        <f>E73</f>
        <v/>
      </c>
      <c r="C74" s="22">
        <f>'Fórmulas'!$B$23</f>
        <v/>
      </c>
      <c r="D74" s="22">
        <f>(B74+C74)*'Fórmulas'!$B$22</f>
        <v/>
      </c>
      <c r="E74" s="22">
        <f>B74+C74+D74</f>
        <v/>
      </c>
    </row>
    <row r="75">
      <c r="A75" s="18" t="n">
        <v>72</v>
      </c>
      <c r="B75" s="22">
        <f>E74</f>
        <v/>
      </c>
      <c r="C75" s="22">
        <f>'Fórmulas'!$B$23</f>
        <v/>
      </c>
      <c r="D75" s="22">
        <f>(B75+C75)*'Fórmulas'!$B$22</f>
        <v/>
      </c>
      <c r="E75" s="22">
        <f>B75+C75+D75</f>
        <v/>
      </c>
    </row>
    <row r="76">
      <c r="A76" s="18" t="n">
        <v>73</v>
      </c>
      <c r="B76" s="22">
        <f>E75</f>
        <v/>
      </c>
      <c r="C76" s="22">
        <f>'Fórmulas'!$B$23</f>
        <v/>
      </c>
      <c r="D76" s="22">
        <f>(B76+C76)*'Fórmulas'!$B$22</f>
        <v/>
      </c>
      <c r="E76" s="22">
        <f>B76+C76+D76</f>
        <v/>
      </c>
    </row>
    <row r="77">
      <c r="A77" s="18" t="n">
        <v>74</v>
      </c>
      <c r="B77" s="22">
        <f>E76</f>
        <v/>
      </c>
      <c r="C77" s="22">
        <f>'Fórmulas'!$B$23</f>
        <v/>
      </c>
      <c r="D77" s="22">
        <f>(B77+C77)*'Fórmulas'!$B$22</f>
        <v/>
      </c>
      <c r="E77" s="22">
        <f>B77+C77+D77</f>
        <v/>
      </c>
    </row>
    <row r="78">
      <c r="A78" s="18" t="n">
        <v>75</v>
      </c>
      <c r="B78" s="22">
        <f>E77</f>
        <v/>
      </c>
      <c r="C78" s="22">
        <f>'Fórmulas'!$B$23</f>
        <v/>
      </c>
      <c r="D78" s="22">
        <f>(B78+C78)*'Fórmulas'!$B$22</f>
        <v/>
      </c>
      <c r="E78" s="22">
        <f>B78+C78+D78</f>
        <v/>
      </c>
    </row>
    <row r="79">
      <c r="A79" s="18" t="n">
        <v>76</v>
      </c>
      <c r="B79" s="22">
        <f>E78</f>
        <v/>
      </c>
      <c r="C79" s="22">
        <f>'Fórmulas'!$B$23</f>
        <v/>
      </c>
      <c r="D79" s="22">
        <f>(B79+C79)*'Fórmulas'!$B$22</f>
        <v/>
      </c>
      <c r="E79" s="22">
        <f>B79+C79+D79</f>
        <v/>
      </c>
    </row>
    <row r="80">
      <c r="A80" s="18" t="n">
        <v>77</v>
      </c>
      <c r="B80" s="22">
        <f>E79</f>
        <v/>
      </c>
      <c r="C80" s="22">
        <f>'Fórmulas'!$B$23</f>
        <v/>
      </c>
      <c r="D80" s="22">
        <f>(B80+C80)*'Fórmulas'!$B$22</f>
        <v/>
      </c>
      <c r="E80" s="22">
        <f>B80+C80+D80</f>
        <v/>
      </c>
    </row>
    <row r="81">
      <c r="A81" s="18" t="n">
        <v>78</v>
      </c>
      <c r="B81" s="22">
        <f>E80</f>
        <v/>
      </c>
      <c r="C81" s="22">
        <f>'Fórmulas'!$B$23</f>
        <v/>
      </c>
      <c r="D81" s="22">
        <f>(B81+C81)*'Fórmulas'!$B$22</f>
        <v/>
      </c>
      <c r="E81" s="22">
        <f>B81+C81+D81</f>
        <v/>
      </c>
    </row>
    <row r="82">
      <c r="A82" s="18" t="n">
        <v>79</v>
      </c>
      <c r="B82" s="22">
        <f>E81</f>
        <v/>
      </c>
      <c r="C82" s="22">
        <f>'Fórmulas'!$B$23</f>
        <v/>
      </c>
      <c r="D82" s="22">
        <f>(B82+C82)*'Fórmulas'!$B$22</f>
        <v/>
      </c>
      <c r="E82" s="22">
        <f>B82+C82+D82</f>
        <v/>
      </c>
    </row>
    <row r="83">
      <c r="A83" s="18" t="n">
        <v>80</v>
      </c>
      <c r="B83" s="22">
        <f>E82</f>
        <v/>
      </c>
      <c r="C83" s="22">
        <f>'Fórmulas'!$B$23</f>
        <v/>
      </c>
      <c r="D83" s="22">
        <f>(B83+C83)*'Fórmulas'!$B$22</f>
        <v/>
      </c>
      <c r="E83" s="22">
        <f>B83+C83+D83</f>
        <v/>
      </c>
    </row>
    <row r="84">
      <c r="A84" s="18" t="n">
        <v>81</v>
      </c>
      <c r="B84" s="22">
        <f>E83</f>
        <v/>
      </c>
      <c r="C84" s="22">
        <f>'Fórmulas'!$B$23</f>
        <v/>
      </c>
      <c r="D84" s="22">
        <f>(B84+C84)*'Fórmulas'!$B$22</f>
        <v/>
      </c>
      <c r="E84" s="22">
        <f>B84+C84+D84</f>
        <v/>
      </c>
    </row>
    <row r="85">
      <c r="A85" s="18" t="n">
        <v>82</v>
      </c>
      <c r="B85" s="22">
        <f>E84</f>
        <v/>
      </c>
      <c r="C85" s="22">
        <f>'Fórmulas'!$B$23</f>
        <v/>
      </c>
      <c r="D85" s="22">
        <f>(B85+C85)*'Fórmulas'!$B$22</f>
        <v/>
      </c>
      <c r="E85" s="22">
        <f>B85+C85+D85</f>
        <v/>
      </c>
    </row>
    <row r="86">
      <c r="A86" s="18" t="n">
        <v>83</v>
      </c>
      <c r="B86" s="22">
        <f>E85</f>
        <v/>
      </c>
      <c r="C86" s="22">
        <f>'Fórmulas'!$B$23</f>
        <v/>
      </c>
      <c r="D86" s="22">
        <f>(B86+C86)*'Fórmulas'!$B$22</f>
        <v/>
      </c>
      <c r="E86" s="22">
        <f>B86+C86+D86</f>
        <v/>
      </c>
    </row>
    <row r="87">
      <c r="A87" s="18" t="n">
        <v>84</v>
      </c>
      <c r="B87" s="22">
        <f>E86</f>
        <v/>
      </c>
      <c r="C87" s="22">
        <f>'Fórmulas'!$B$23</f>
        <v/>
      </c>
      <c r="D87" s="22">
        <f>(B87+C87)*'Fórmulas'!$B$22</f>
        <v/>
      </c>
      <c r="E87" s="22">
        <f>B87+C87+D87</f>
        <v/>
      </c>
    </row>
    <row r="88">
      <c r="A88" s="18" t="n">
        <v>85</v>
      </c>
      <c r="B88" s="22">
        <f>E87</f>
        <v/>
      </c>
      <c r="C88" s="22">
        <f>'Fórmulas'!$B$23</f>
        <v/>
      </c>
      <c r="D88" s="22">
        <f>(B88+C88)*'Fórmulas'!$B$22</f>
        <v/>
      </c>
      <c r="E88" s="22">
        <f>B88+C88+D88</f>
        <v/>
      </c>
    </row>
    <row r="89">
      <c r="A89" s="18" t="n">
        <v>86</v>
      </c>
      <c r="B89" s="22">
        <f>E88</f>
        <v/>
      </c>
      <c r="C89" s="22">
        <f>'Fórmulas'!$B$23</f>
        <v/>
      </c>
      <c r="D89" s="22">
        <f>(B89+C89)*'Fórmulas'!$B$22</f>
        <v/>
      </c>
      <c r="E89" s="22">
        <f>B89+C89+D89</f>
        <v/>
      </c>
    </row>
    <row r="90">
      <c r="A90" s="18" t="n">
        <v>87</v>
      </c>
      <c r="B90" s="22">
        <f>E89</f>
        <v/>
      </c>
      <c r="C90" s="22">
        <f>'Fórmulas'!$B$23</f>
        <v/>
      </c>
      <c r="D90" s="22">
        <f>(B90+C90)*'Fórmulas'!$B$22</f>
        <v/>
      </c>
      <c r="E90" s="22">
        <f>B90+C90+D90</f>
        <v/>
      </c>
    </row>
    <row r="91">
      <c r="A91" s="18" t="n">
        <v>88</v>
      </c>
      <c r="B91" s="22">
        <f>E90</f>
        <v/>
      </c>
      <c r="C91" s="22">
        <f>'Fórmulas'!$B$23</f>
        <v/>
      </c>
      <c r="D91" s="22">
        <f>(B91+C91)*'Fórmulas'!$B$22</f>
        <v/>
      </c>
      <c r="E91" s="22">
        <f>B91+C91+D91</f>
        <v/>
      </c>
    </row>
    <row r="92">
      <c r="A92" s="18" t="n">
        <v>89</v>
      </c>
      <c r="B92" s="22">
        <f>E91</f>
        <v/>
      </c>
      <c r="C92" s="22">
        <f>'Fórmulas'!$B$23</f>
        <v/>
      </c>
      <c r="D92" s="22">
        <f>(B92+C92)*'Fórmulas'!$B$22</f>
        <v/>
      </c>
      <c r="E92" s="22">
        <f>B92+C92+D92</f>
        <v/>
      </c>
    </row>
    <row r="93">
      <c r="A93" s="18" t="n">
        <v>90</v>
      </c>
      <c r="B93" s="22">
        <f>E92</f>
        <v/>
      </c>
      <c r="C93" s="22">
        <f>'Fórmulas'!$B$23</f>
        <v/>
      </c>
      <c r="D93" s="22">
        <f>(B93+C93)*'Fórmulas'!$B$22</f>
        <v/>
      </c>
      <c r="E93" s="22">
        <f>B93+C93+D93</f>
        <v/>
      </c>
    </row>
    <row r="94">
      <c r="A94" s="18" t="n">
        <v>91</v>
      </c>
      <c r="B94" s="22">
        <f>E93</f>
        <v/>
      </c>
      <c r="C94" s="22">
        <f>'Fórmulas'!$B$23</f>
        <v/>
      </c>
      <c r="D94" s="22">
        <f>(B94+C94)*'Fórmulas'!$B$22</f>
        <v/>
      </c>
      <c r="E94" s="22">
        <f>B94+C94+D94</f>
        <v/>
      </c>
    </row>
    <row r="95">
      <c r="A95" s="18" t="n">
        <v>92</v>
      </c>
      <c r="B95" s="22">
        <f>E94</f>
        <v/>
      </c>
      <c r="C95" s="22">
        <f>'Fórmulas'!$B$23</f>
        <v/>
      </c>
      <c r="D95" s="22">
        <f>(B95+C95)*'Fórmulas'!$B$22</f>
        <v/>
      </c>
      <c r="E95" s="22">
        <f>B95+C95+D95</f>
        <v/>
      </c>
    </row>
    <row r="96">
      <c r="A96" s="18" t="n">
        <v>93</v>
      </c>
      <c r="B96" s="22">
        <f>E95</f>
        <v/>
      </c>
      <c r="C96" s="22">
        <f>'Fórmulas'!$B$23</f>
        <v/>
      </c>
      <c r="D96" s="22">
        <f>(B96+C96)*'Fórmulas'!$B$22</f>
        <v/>
      </c>
      <c r="E96" s="22">
        <f>B96+C96+D96</f>
        <v/>
      </c>
    </row>
    <row r="97">
      <c r="A97" s="18" t="n">
        <v>94</v>
      </c>
      <c r="B97" s="22">
        <f>E96</f>
        <v/>
      </c>
      <c r="C97" s="22">
        <f>'Fórmulas'!$B$23</f>
        <v/>
      </c>
      <c r="D97" s="22">
        <f>(B97+C97)*'Fórmulas'!$B$22</f>
        <v/>
      </c>
      <c r="E97" s="22">
        <f>B97+C97+D97</f>
        <v/>
      </c>
    </row>
    <row r="98">
      <c r="A98" s="18" t="n">
        <v>95</v>
      </c>
      <c r="B98" s="22">
        <f>E97</f>
        <v/>
      </c>
      <c r="C98" s="22">
        <f>'Fórmulas'!$B$23</f>
        <v/>
      </c>
      <c r="D98" s="22">
        <f>(B98+C98)*'Fórmulas'!$B$22</f>
        <v/>
      </c>
      <c r="E98" s="22">
        <f>B98+C98+D98</f>
        <v/>
      </c>
    </row>
    <row r="99">
      <c r="A99" s="18" t="n">
        <v>96</v>
      </c>
      <c r="B99" s="22">
        <f>E98</f>
        <v/>
      </c>
      <c r="C99" s="22">
        <f>'Fórmulas'!$B$23</f>
        <v/>
      </c>
      <c r="D99" s="22">
        <f>(B99+C99)*'Fórmulas'!$B$22</f>
        <v/>
      </c>
      <c r="E99" s="22">
        <f>B99+C99+D99</f>
        <v/>
      </c>
    </row>
    <row r="100">
      <c r="A100" s="18" t="n">
        <v>97</v>
      </c>
      <c r="B100" s="22">
        <f>E99</f>
        <v/>
      </c>
      <c r="C100" s="22">
        <f>'Fórmulas'!$B$23</f>
        <v/>
      </c>
      <c r="D100" s="22">
        <f>(B100+C100)*'Fórmulas'!$B$22</f>
        <v/>
      </c>
      <c r="E100" s="22">
        <f>B100+C100+D100</f>
        <v/>
      </c>
    </row>
    <row r="101">
      <c r="A101" s="18" t="n">
        <v>98</v>
      </c>
      <c r="B101" s="22">
        <f>E100</f>
        <v/>
      </c>
      <c r="C101" s="22">
        <f>'Fórmulas'!$B$23</f>
        <v/>
      </c>
      <c r="D101" s="22">
        <f>(B101+C101)*'Fórmulas'!$B$22</f>
        <v/>
      </c>
      <c r="E101" s="22">
        <f>B101+C101+D101</f>
        <v/>
      </c>
    </row>
    <row r="102">
      <c r="A102" s="18" t="n">
        <v>99</v>
      </c>
      <c r="B102" s="22">
        <f>E101</f>
        <v/>
      </c>
      <c r="C102" s="22">
        <f>'Fórmulas'!$B$23</f>
        <v/>
      </c>
      <c r="D102" s="22">
        <f>(B102+C102)*'Fórmulas'!$B$22</f>
        <v/>
      </c>
      <c r="E102" s="22">
        <f>B102+C102+D102</f>
        <v/>
      </c>
    </row>
    <row r="103">
      <c r="A103" s="18" t="n">
        <v>100</v>
      </c>
      <c r="B103" s="22">
        <f>E102</f>
        <v/>
      </c>
      <c r="C103" s="22">
        <f>'Fórmulas'!$B$23</f>
        <v/>
      </c>
      <c r="D103" s="22">
        <f>(B103+C103)*'Fórmulas'!$B$22</f>
        <v/>
      </c>
      <c r="E103" s="22">
        <f>B103+C103+D103</f>
        <v/>
      </c>
    </row>
    <row r="104">
      <c r="A104" s="18" t="n">
        <v>101</v>
      </c>
      <c r="B104" s="22">
        <f>E103</f>
        <v/>
      </c>
      <c r="C104" s="22">
        <f>'Fórmulas'!$B$23</f>
        <v/>
      </c>
      <c r="D104" s="22">
        <f>(B104+C104)*'Fórmulas'!$B$22</f>
        <v/>
      </c>
      <c r="E104" s="22">
        <f>B104+C104+D104</f>
        <v/>
      </c>
    </row>
    <row r="105">
      <c r="A105" s="18" t="n">
        <v>102</v>
      </c>
      <c r="B105" s="22">
        <f>E104</f>
        <v/>
      </c>
      <c r="C105" s="22">
        <f>'Fórmulas'!$B$23</f>
        <v/>
      </c>
      <c r="D105" s="22">
        <f>(B105+C105)*'Fórmulas'!$B$22</f>
        <v/>
      </c>
      <c r="E105" s="22">
        <f>B105+C105+D105</f>
        <v/>
      </c>
    </row>
    <row r="106">
      <c r="A106" s="18" t="n">
        <v>103</v>
      </c>
      <c r="B106" s="22">
        <f>E105</f>
        <v/>
      </c>
      <c r="C106" s="22">
        <f>'Fórmulas'!$B$23</f>
        <v/>
      </c>
      <c r="D106" s="22">
        <f>(B106+C106)*'Fórmulas'!$B$22</f>
        <v/>
      </c>
      <c r="E106" s="22">
        <f>B106+C106+D106</f>
        <v/>
      </c>
    </row>
    <row r="107">
      <c r="A107" s="18" t="n">
        <v>104</v>
      </c>
      <c r="B107" s="22">
        <f>E106</f>
        <v/>
      </c>
      <c r="C107" s="22">
        <f>'Fórmulas'!$B$23</f>
        <v/>
      </c>
      <c r="D107" s="22">
        <f>(B107+C107)*'Fórmulas'!$B$22</f>
        <v/>
      </c>
      <c r="E107" s="22">
        <f>B107+C107+D107</f>
        <v/>
      </c>
    </row>
    <row r="108">
      <c r="A108" s="18" t="n">
        <v>105</v>
      </c>
      <c r="B108" s="22">
        <f>E107</f>
        <v/>
      </c>
      <c r="C108" s="22">
        <f>'Fórmulas'!$B$23</f>
        <v/>
      </c>
      <c r="D108" s="22">
        <f>(B108+C108)*'Fórmulas'!$B$22</f>
        <v/>
      </c>
      <c r="E108" s="22">
        <f>B108+C108+D108</f>
        <v/>
      </c>
    </row>
    <row r="109">
      <c r="A109" s="18" t="n">
        <v>106</v>
      </c>
      <c r="B109" s="22">
        <f>E108</f>
        <v/>
      </c>
      <c r="C109" s="22">
        <f>'Fórmulas'!$B$23</f>
        <v/>
      </c>
      <c r="D109" s="22">
        <f>(B109+C109)*'Fórmulas'!$B$22</f>
        <v/>
      </c>
      <c r="E109" s="22">
        <f>B109+C109+D109</f>
        <v/>
      </c>
    </row>
    <row r="110">
      <c r="A110" s="18" t="n">
        <v>107</v>
      </c>
      <c r="B110" s="22">
        <f>E109</f>
        <v/>
      </c>
      <c r="C110" s="22">
        <f>'Fórmulas'!$B$23</f>
        <v/>
      </c>
      <c r="D110" s="22">
        <f>(B110+C110)*'Fórmulas'!$B$22</f>
        <v/>
      </c>
      <c r="E110" s="22">
        <f>B110+C110+D110</f>
        <v/>
      </c>
    </row>
    <row r="111">
      <c r="A111" s="18" t="n">
        <v>108</v>
      </c>
      <c r="B111" s="22">
        <f>E110</f>
        <v/>
      </c>
      <c r="C111" s="22">
        <f>'Fórmulas'!$B$23</f>
        <v/>
      </c>
      <c r="D111" s="22">
        <f>(B111+C111)*'Fórmulas'!$B$22</f>
        <v/>
      </c>
      <c r="E111" s="22">
        <f>B111+C111+D111</f>
        <v/>
      </c>
    </row>
    <row r="112">
      <c r="A112" s="18" t="n">
        <v>109</v>
      </c>
      <c r="B112" s="22">
        <f>E111</f>
        <v/>
      </c>
      <c r="C112" s="22">
        <f>'Fórmulas'!$B$23</f>
        <v/>
      </c>
      <c r="D112" s="22">
        <f>(B112+C112)*'Fórmulas'!$B$22</f>
        <v/>
      </c>
      <c r="E112" s="22">
        <f>B112+C112+D112</f>
        <v/>
      </c>
    </row>
    <row r="113">
      <c r="A113" s="18" t="n">
        <v>110</v>
      </c>
      <c r="B113" s="22">
        <f>E112</f>
        <v/>
      </c>
      <c r="C113" s="22">
        <f>'Fórmulas'!$B$23</f>
        <v/>
      </c>
      <c r="D113" s="22">
        <f>(B113+C113)*'Fórmulas'!$B$22</f>
        <v/>
      </c>
      <c r="E113" s="22">
        <f>B113+C113+D113</f>
        <v/>
      </c>
    </row>
    <row r="114">
      <c r="A114" s="18" t="n">
        <v>111</v>
      </c>
      <c r="B114" s="22">
        <f>E113</f>
        <v/>
      </c>
      <c r="C114" s="22">
        <f>'Fórmulas'!$B$23</f>
        <v/>
      </c>
      <c r="D114" s="22">
        <f>(B114+C114)*'Fórmulas'!$B$22</f>
        <v/>
      </c>
      <c r="E114" s="22">
        <f>B114+C114+D114</f>
        <v/>
      </c>
    </row>
    <row r="115">
      <c r="A115" s="18" t="n">
        <v>112</v>
      </c>
      <c r="B115" s="22">
        <f>E114</f>
        <v/>
      </c>
      <c r="C115" s="22">
        <f>'Fórmulas'!$B$23</f>
        <v/>
      </c>
      <c r="D115" s="22">
        <f>(B115+C115)*'Fórmulas'!$B$22</f>
        <v/>
      </c>
      <c r="E115" s="22">
        <f>B115+C115+D115</f>
        <v/>
      </c>
    </row>
    <row r="116">
      <c r="A116" s="18" t="n">
        <v>113</v>
      </c>
      <c r="B116" s="22">
        <f>E115</f>
        <v/>
      </c>
      <c r="C116" s="22">
        <f>'Fórmulas'!$B$23</f>
        <v/>
      </c>
      <c r="D116" s="22">
        <f>(B116+C116)*'Fórmulas'!$B$22</f>
        <v/>
      </c>
      <c r="E116" s="22">
        <f>B116+C116+D116</f>
        <v/>
      </c>
    </row>
    <row r="117">
      <c r="A117" s="18" t="n">
        <v>114</v>
      </c>
      <c r="B117" s="22">
        <f>E116</f>
        <v/>
      </c>
      <c r="C117" s="22">
        <f>'Fórmulas'!$B$23</f>
        <v/>
      </c>
      <c r="D117" s="22">
        <f>(B117+C117)*'Fórmulas'!$B$22</f>
        <v/>
      </c>
      <c r="E117" s="22">
        <f>B117+C117+D117</f>
        <v/>
      </c>
    </row>
    <row r="118">
      <c r="A118" s="18" t="n">
        <v>115</v>
      </c>
      <c r="B118" s="22">
        <f>E117</f>
        <v/>
      </c>
      <c r="C118" s="22">
        <f>'Fórmulas'!$B$23</f>
        <v/>
      </c>
      <c r="D118" s="22">
        <f>(B118+C118)*'Fórmulas'!$B$22</f>
        <v/>
      </c>
      <c r="E118" s="22">
        <f>B118+C118+D118</f>
        <v/>
      </c>
    </row>
    <row r="119">
      <c r="A119" s="18" t="n">
        <v>116</v>
      </c>
      <c r="B119" s="22">
        <f>E118</f>
        <v/>
      </c>
      <c r="C119" s="22">
        <f>'Fórmulas'!$B$23</f>
        <v/>
      </c>
      <c r="D119" s="22">
        <f>(B119+C119)*'Fórmulas'!$B$22</f>
        <v/>
      </c>
      <c r="E119" s="22">
        <f>B119+C119+D119</f>
        <v/>
      </c>
    </row>
    <row r="120">
      <c r="A120" s="18" t="n">
        <v>117</v>
      </c>
      <c r="B120" s="22">
        <f>E119</f>
        <v/>
      </c>
      <c r="C120" s="22">
        <f>'Fórmulas'!$B$23</f>
        <v/>
      </c>
      <c r="D120" s="22">
        <f>(B120+C120)*'Fórmulas'!$B$22</f>
        <v/>
      </c>
      <c r="E120" s="22">
        <f>B120+C120+D120</f>
        <v/>
      </c>
    </row>
    <row r="121">
      <c r="A121" s="18" t="n">
        <v>118</v>
      </c>
      <c r="B121" s="22">
        <f>E120</f>
        <v/>
      </c>
      <c r="C121" s="22">
        <f>'Fórmulas'!$B$23</f>
        <v/>
      </c>
      <c r="D121" s="22">
        <f>(B121+C121)*'Fórmulas'!$B$22</f>
        <v/>
      </c>
      <c r="E121" s="22">
        <f>B121+C121+D121</f>
        <v/>
      </c>
    </row>
    <row r="122">
      <c r="A122" s="18" t="n">
        <v>119</v>
      </c>
      <c r="B122" s="22">
        <f>E121</f>
        <v/>
      </c>
      <c r="C122" s="22">
        <f>'Fórmulas'!$B$23</f>
        <v/>
      </c>
      <c r="D122" s="22">
        <f>(B122+C122)*'Fórmulas'!$B$22</f>
        <v/>
      </c>
      <c r="E122" s="22">
        <f>B122+C122+D122</f>
        <v/>
      </c>
    </row>
    <row r="123">
      <c r="A123" s="18" t="n">
        <v>120</v>
      </c>
      <c r="B123" s="22">
        <f>E122</f>
        <v/>
      </c>
      <c r="C123" s="22">
        <f>'Fórmulas'!$B$23</f>
        <v/>
      </c>
      <c r="D123" s="22">
        <f>(B123+C123)*'Fórmulas'!$B$22</f>
        <v/>
      </c>
      <c r="E123" s="22">
        <f>B123+C123+D123</f>
        <v/>
      </c>
    </row>
    <row r="124">
      <c r="A124" s="18" t="n">
        <v>121</v>
      </c>
      <c r="B124" s="22">
        <f>E123</f>
        <v/>
      </c>
      <c r="C124" s="22">
        <f>'Fórmulas'!$B$23</f>
        <v/>
      </c>
      <c r="D124" s="22">
        <f>(B124+C124)*'Fórmulas'!$B$22</f>
        <v/>
      </c>
      <c r="E124" s="22">
        <f>B124+C124+D124</f>
        <v/>
      </c>
    </row>
    <row r="125">
      <c r="A125" s="18" t="n">
        <v>122</v>
      </c>
      <c r="B125" s="22">
        <f>E124</f>
        <v/>
      </c>
      <c r="C125" s="22">
        <f>'Fórmulas'!$B$23</f>
        <v/>
      </c>
      <c r="D125" s="22">
        <f>(B125+C125)*'Fórmulas'!$B$22</f>
        <v/>
      </c>
      <c r="E125" s="22">
        <f>B125+C125+D125</f>
        <v/>
      </c>
    </row>
    <row r="126">
      <c r="A126" s="18" t="n">
        <v>123</v>
      </c>
      <c r="B126" s="22">
        <f>E125</f>
        <v/>
      </c>
      <c r="C126" s="22">
        <f>'Fórmulas'!$B$23</f>
        <v/>
      </c>
      <c r="D126" s="22">
        <f>(B126+C126)*'Fórmulas'!$B$22</f>
        <v/>
      </c>
      <c r="E126" s="22">
        <f>B126+C126+D126</f>
        <v/>
      </c>
    </row>
    <row r="127">
      <c r="A127" s="18" t="n">
        <v>124</v>
      </c>
      <c r="B127" s="22">
        <f>E126</f>
        <v/>
      </c>
      <c r="C127" s="22">
        <f>'Fórmulas'!$B$23</f>
        <v/>
      </c>
      <c r="D127" s="22">
        <f>(B127+C127)*'Fórmulas'!$B$22</f>
        <v/>
      </c>
      <c r="E127" s="22">
        <f>B127+C127+D127</f>
        <v/>
      </c>
    </row>
    <row r="128">
      <c r="A128" s="18" t="n">
        <v>125</v>
      </c>
      <c r="B128" s="22">
        <f>E127</f>
        <v/>
      </c>
      <c r="C128" s="22">
        <f>'Fórmulas'!$B$23</f>
        <v/>
      </c>
      <c r="D128" s="22">
        <f>(B128+C128)*'Fórmulas'!$B$22</f>
        <v/>
      </c>
      <c r="E128" s="22">
        <f>B128+C128+D128</f>
        <v/>
      </c>
    </row>
    <row r="129">
      <c r="A129" s="18" t="n">
        <v>126</v>
      </c>
      <c r="B129" s="22">
        <f>E128</f>
        <v/>
      </c>
      <c r="C129" s="22">
        <f>'Fórmulas'!$B$23</f>
        <v/>
      </c>
      <c r="D129" s="22">
        <f>(B129+C129)*'Fórmulas'!$B$22</f>
        <v/>
      </c>
      <c r="E129" s="22">
        <f>B129+C129+D129</f>
        <v/>
      </c>
    </row>
    <row r="130">
      <c r="A130" s="18" t="n">
        <v>127</v>
      </c>
      <c r="B130" s="22">
        <f>E129</f>
        <v/>
      </c>
      <c r="C130" s="22">
        <f>'Fórmulas'!$B$23</f>
        <v/>
      </c>
      <c r="D130" s="22">
        <f>(B130+C130)*'Fórmulas'!$B$22</f>
        <v/>
      </c>
      <c r="E130" s="22">
        <f>B130+C130+D130</f>
        <v/>
      </c>
    </row>
    <row r="131">
      <c r="A131" s="18" t="n">
        <v>128</v>
      </c>
      <c r="B131" s="22">
        <f>E130</f>
        <v/>
      </c>
      <c r="C131" s="22">
        <f>'Fórmulas'!$B$23</f>
        <v/>
      </c>
      <c r="D131" s="22">
        <f>(B131+C131)*'Fórmulas'!$B$22</f>
        <v/>
      </c>
      <c r="E131" s="22">
        <f>B131+C131+D131</f>
        <v/>
      </c>
    </row>
    <row r="132">
      <c r="A132" s="18" t="n">
        <v>129</v>
      </c>
      <c r="B132" s="22">
        <f>E131</f>
        <v/>
      </c>
      <c r="C132" s="22">
        <f>'Fórmulas'!$B$23</f>
        <v/>
      </c>
      <c r="D132" s="22">
        <f>(B132+C132)*'Fórmulas'!$B$22</f>
        <v/>
      </c>
      <c r="E132" s="22">
        <f>B132+C132+D132</f>
        <v/>
      </c>
    </row>
    <row r="133">
      <c r="A133" s="18" t="n">
        <v>130</v>
      </c>
      <c r="B133" s="22">
        <f>E132</f>
        <v/>
      </c>
      <c r="C133" s="22">
        <f>'Fórmulas'!$B$23</f>
        <v/>
      </c>
      <c r="D133" s="22">
        <f>(B133+C133)*'Fórmulas'!$B$22</f>
        <v/>
      </c>
      <c r="E133" s="22">
        <f>B133+C133+D133</f>
        <v/>
      </c>
    </row>
    <row r="134">
      <c r="A134" s="18" t="n">
        <v>131</v>
      </c>
      <c r="B134" s="22">
        <f>E133</f>
        <v/>
      </c>
      <c r="C134" s="22">
        <f>'Fórmulas'!$B$23</f>
        <v/>
      </c>
      <c r="D134" s="22">
        <f>(B134+C134)*'Fórmulas'!$B$22</f>
        <v/>
      </c>
      <c r="E134" s="22">
        <f>B134+C134+D134</f>
        <v/>
      </c>
    </row>
    <row r="135">
      <c r="A135" s="18" t="n">
        <v>132</v>
      </c>
      <c r="B135" s="22">
        <f>E134</f>
        <v/>
      </c>
      <c r="C135" s="22">
        <f>'Fórmulas'!$B$23</f>
        <v/>
      </c>
      <c r="D135" s="22">
        <f>(B135+C135)*'Fórmulas'!$B$22</f>
        <v/>
      </c>
      <c r="E135" s="22">
        <f>B135+C135+D135</f>
        <v/>
      </c>
    </row>
    <row r="136">
      <c r="A136" s="18" t="n">
        <v>133</v>
      </c>
      <c r="B136" s="22">
        <f>E135</f>
        <v/>
      </c>
      <c r="C136" s="22">
        <f>'Fórmulas'!$B$23</f>
        <v/>
      </c>
      <c r="D136" s="22">
        <f>(B136+C136)*'Fórmulas'!$B$22</f>
        <v/>
      </c>
      <c r="E136" s="22">
        <f>B136+C136+D136</f>
        <v/>
      </c>
    </row>
    <row r="137">
      <c r="A137" s="18" t="n">
        <v>134</v>
      </c>
      <c r="B137" s="22">
        <f>E136</f>
        <v/>
      </c>
      <c r="C137" s="22">
        <f>'Fórmulas'!$B$23</f>
        <v/>
      </c>
      <c r="D137" s="22">
        <f>(B137+C137)*'Fórmulas'!$B$22</f>
        <v/>
      </c>
      <c r="E137" s="22">
        <f>B137+C137+D137</f>
        <v/>
      </c>
    </row>
    <row r="138">
      <c r="A138" s="18" t="n">
        <v>135</v>
      </c>
      <c r="B138" s="22">
        <f>E137</f>
        <v/>
      </c>
      <c r="C138" s="22">
        <f>'Fórmulas'!$B$23</f>
        <v/>
      </c>
      <c r="D138" s="22">
        <f>(B138+C138)*'Fórmulas'!$B$22</f>
        <v/>
      </c>
      <c r="E138" s="22">
        <f>B138+C138+D138</f>
        <v/>
      </c>
    </row>
    <row r="139">
      <c r="A139" s="18" t="n">
        <v>136</v>
      </c>
      <c r="B139" s="22">
        <f>E138</f>
        <v/>
      </c>
      <c r="C139" s="22">
        <f>'Fórmulas'!$B$23</f>
        <v/>
      </c>
      <c r="D139" s="22">
        <f>(B139+C139)*'Fórmulas'!$B$22</f>
        <v/>
      </c>
      <c r="E139" s="22">
        <f>B139+C139+D139</f>
        <v/>
      </c>
    </row>
    <row r="140">
      <c r="A140" s="18" t="n">
        <v>137</v>
      </c>
      <c r="B140" s="22">
        <f>E139</f>
        <v/>
      </c>
      <c r="C140" s="22">
        <f>'Fórmulas'!$B$23</f>
        <v/>
      </c>
      <c r="D140" s="22">
        <f>(B140+C140)*'Fórmulas'!$B$22</f>
        <v/>
      </c>
      <c r="E140" s="22">
        <f>B140+C140+D140</f>
        <v/>
      </c>
    </row>
    <row r="141">
      <c r="A141" s="18" t="n">
        <v>138</v>
      </c>
      <c r="B141" s="22">
        <f>E140</f>
        <v/>
      </c>
      <c r="C141" s="22">
        <f>'Fórmulas'!$B$23</f>
        <v/>
      </c>
      <c r="D141" s="22">
        <f>(B141+C141)*'Fórmulas'!$B$22</f>
        <v/>
      </c>
      <c r="E141" s="22">
        <f>B141+C141+D141</f>
        <v/>
      </c>
    </row>
    <row r="142">
      <c r="A142" s="18" t="n">
        <v>139</v>
      </c>
      <c r="B142" s="22">
        <f>E141</f>
        <v/>
      </c>
      <c r="C142" s="22">
        <f>'Fórmulas'!$B$23</f>
        <v/>
      </c>
      <c r="D142" s="22">
        <f>(B142+C142)*'Fórmulas'!$B$22</f>
        <v/>
      </c>
      <c r="E142" s="22">
        <f>B142+C142+D142</f>
        <v/>
      </c>
    </row>
    <row r="143">
      <c r="A143" s="18" t="n">
        <v>140</v>
      </c>
      <c r="B143" s="22">
        <f>E142</f>
        <v/>
      </c>
      <c r="C143" s="22">
        <f>'Fórmulas'!$B$23</f>
        <v/>
      </c>
      <c r="D143" s="22">
        <f>(B143+C143)*'Fórmulas'!$B$22</f>
        <v/>
      </c>
      <c r="E143" s="22">
        <f>B143+C143+D143</f>
        <v/>
      </c>
    </row>
    <row r="144">
      <c r="A144" s="18" t="n">
        <v>141</v>
      </c>
      <c r="B144" s="22">
        <f>E143</f>
        <v/>
      </c>
      <c r="C144" s="22">
        <f>'Fórmulas'!$B$23</f>
        <v/>
      </c>
      <c r="D144" s="22">
        <f>(B144+C144)*'Fórmulas'!$B$22</f>
        <v/>
      </c>
      <c r="E144" s="22">
        <f>B144+C144+D144</f>
        <v/>
      </c>
    </row>
    <row r="145">
      <c r="A145" s="18" t="n">
        <v>142</v>
      </c>
      <c r="B145" s="22">
        <f>E144</f>
        <v/>
      </c>
      <c r="C145" s="22">
        <f>'Fórmulas'!$B$23</f>
        <v/>
      </c>
      <c r="D145" s="22">
        <f>(B145+C145)*'Fórmulas'!$B$22</f>
        <v/>
      </c>
      <c r="E145" s="22">
        <f>B145+C145+D145</f>
        <v/>
      </c>
    </row>
    <row r="146">
      <c r="A146" s="18" t="n">
        <v>143</v>
      </c>
      <c r="B146" s="22">
        <f>E145</f>
        <v/>
      </c>
      <c r="C146" s="22">
        <f>'Fórmulas'!$B$23</f>
        <v/>
      </c>
      <c r="D146" s="22">
        <f>(B146+C146)*'Fórmulas'!$B$22</f>
        <v/>
      </c>
      <c r="E146" s="22">
        <f>B146+C146+D146</f>
        <v/>
      </c>
    </row>
    <row r="147">
      <c r="A147" s="18" t="n">
        <v>144</v>
      </c>
      <c r="B147" s="22">
        <f>E146</f>
        <v/>
      </c>
      <c r="C147" s="22">
        <f>'Fórmulas'!$B$23</f>
        <v/>
      </c>
      <c r="D147" s="22">
        <f>(B147+C147)*'Fórmulas'!$B$22</f>
        <v/>
      </c>
      <c r="E147" s="22">
        <f>B147+C147+D147</f>
        <v/>
      </c>
    </row>
    <row r="148">
      <c r="A148" s="18" t="n">
        <v>145</v>
      </c>
      <c r="B148" s="22">
        <f>E147</f>
        <v/>
      </c>
      <c r="C148" s="22">
        <f>'Fórmulas'!$B$23</f>
        <v/>
      </c>
      <c r="D148" s="22">
        <f>(B148+C148)*'Fórmulas'!$B$22</f>
        <v/>
      </c>
      <c r="E148" s="22">
        <f>B148+C148+D148</f>
        <v/>
      </c>
    </row>
    <row r="149">
      <c r="A149" s="18" t="n">
        <v>146</v>
      </c>
      <c r="B149" s="22">
        <f>E148</f>
        <v/>
      </c>
      <c r="C149" s="22">
        <f>'Fórmulas'!$B$23</f>
        <v/>
      </c>
      <c r="D149" s="22">
        <f>(B149+C149)*'Fórmulas'!$B$22</f>
        <v/>
      </c>
      <c r="E149" s="22">
        <f>B149+C149+D149</f>
        <v/>
      </c>
    </row>
    <row r="150">
      <c r="A150" s="18" t="n">
        <v>147</v>
      </c>
      <c r="B150" s="22">
        <f>E149</f>
        <v/>
      </c>
      <c r="C150" s="22">
        <f>'Fórmulas'!$B$23</f>
        <v/>
      </c>
      <c r="D150" s="22">
        <f>(B150+C150)*'Fórmulas'!$B$22</f>
        <v/>
      </c>
      <c r="E150" s="22">
        <f>B150+C150+D150</f>
        <v/>
      </c>
    </row>
    <row r="151">
      <c r="A151" s="18" t="n">
        <v>148</v>
      </c>
      <c r="B151" s="22">
        <f>E150</f>
        <v/>
      </c>
      <c r="C151" s="22">
        <f>'Fórmulas'!$B$23</f>
        <v/>
      </c>
      <c r="D151" s="22">
        <f>(B151+C151)*'Fórmulas'!$B$22</f>
        <v/>
      </c>
      <c r="E151" s="22">
        <f>B151+C151+D151</f>
        <v/>
      </c>
    </row>
    <row r="152">
      <c r="A152" s="18" t="n">
        <v>149</v>
      </c>
      <c r="B152" s="22">
        <f>E151</f>
        <v/>
      </c>
      <c r="C152" s="22">
        <f>'Fórmulas'!$B$23</f>
        <v/>
      </c>
      <c r="D152" s="22">
        <f>(B152+C152)*'Fórmulas'!$B$22</f>
        <v/>
      </c>
      <c r="E152" s="22">
        <f>B152+C152+D152</f>
        <v/>
      </c>
    </row>
    <row r="153">
      <c r="A153" s="18" t="n">
        <v>150</v>
      </c>
      <c r="B153" s="22">
        <f>E152</f>
        <v/>
      </c>
      <c r="C153" s="22">
        <f>'Fórmulas'!$B$23</f>
        <v/>
      </c>
      <c r="D153" s="22">
        <f>(B153+C153)*'Fórmulas'!$B$22</f>
        <v/>
      </c>
      <c r="E153" s="22">
        <f>B153+C153+D153</f>
        <v/>
      </c>
    </row>
    <row r="154">
      <c r="A154" s="18" t="n">
        <v>151</v>
      </c>
      <c r="B154" s="22">
        <f>E153</f>
        <v/>
      </c>
      <c r="C154" s="22">
        <f>'Fórmulas'!$B$23</f>
        <v/>
      </c>
      <c r="D154" s="22">
        <f>(B154+C154)*'Fórmulas'!$B$22</f>
        <v/>
      </c>
      <c r="E154" s="22">
        <f>B154+C154+D154</f>
        <v/>
      </c>
    </row>
    <row r="155">
      <c r="A155" s="18" t="n">
        <v>152</v>
      </c>
      <c r="B155" s="22">
        <f>E154</f>
        <v/>
      </c>
      <c r="C155" s="22">
        <f>'Fórmulas'!$B$23</f>
        <v/>
      </c>
      <c r="D155" s="22">
        <f>(B155+C155)*'Fórmulas'!$B$22</f>
        <v/>
      </c>
      <c r="E155" s="22">
        <f>B155+C155+D155</f>
        <v/>
      </c>
    </row>
    <row r="156">
      <c r="A156" s="18" t="n">
        <v>153</v>
      </c>
      <c r="B156" s="22">
        <f>E155</f>
        <v/>
      </c>
      <c r="C156" s="22">
        <f>'Fórmulas'!$B$23</f>
        <v/>
      </c>
      <c r="D156" s="22">
        <f>(B156+C156)*'Fórmulas'!$B$22</f>
        <v/>
      </c>
      <c r="E156" s="22">
        <f>B156+C156+D156</f>
        <v/>
      </c>
    </row>
    <row r="157">
      <c r="A157" s="18" t="n">
        <v>154</v>
      </c>
      <c r="B157" s="22">
        <f>E156</f>
        <v/>
      </c>
      <c r="C157" s="22">
        <f>'Fórmulas'!$B$23</f>
        <v/>
      </c>
      <c r="D157" s="22">
        <f>(B157+C157)*'Fórmulas'!$B$22</f>
        <v/>
      </c>
      <c r="E157" s="22">
        <f>B157+C157+D157</f>
        <v/>
      </c>
    </row>
    <row r="158">
      <c r="A158" s="18" t="n">
        <v>155</v>
      </c>
      <c r="B158" s="22">
        <f>E157</f>
        <v/>
      </c>
      <c r="C158" s="22">
        <f>'Fórmulas'!$B$23</f>
        <v/>
      </c>
      <c r="D158" s="22">
        <f>(B158+C158)*'Fórmulas'!$B$22</f>
        <v/>
      </c>
      <c r="E158" s="22">
        <f>B158+C158+D158</f>
        <v/>
      </c>
    </row>
    <row r="159">
      <c r="A159" s="18" t="n">
        <v>156</v>
      </c>
      <c r="B159" s="22">
        <f>E158</f>
        <v/>
      </c>
      <c r="C159" s="22">
        <f>'Fórmulas'!$B$23</f>
        <v/>
      </c>
      <c r="D159" s="22">
        <f>(B159+C159)*'Fórmulas'!$B$22</f>
        <v/>
      </c>
      <c r="E159" s="22">
        <f>B159+C159+D159</f>
        <v/>
      </c>
    </row>
  </sheetData>
  <conditionalFormatting sqref="H6">
    <cfRule type="cellIs" priority="1" operator="equal" dxfId="0">
      <formula>"OK"</formula>
    </cfRule>
    <cfRule type="cellIs" priority="2" operator="equal" dxfId="1">
      <formula>"VERIFICAR"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" customWidth="1" min="3" max="3"/>
    <col width="46" customWidth="1" min="4" max="4"/>
    <col width="18" customWidth="1" min="5" max="5"/>
    <col width="20" customWidth="1" min="6" max="6"/>
    <col width="14" customWidth="1" min="7" max="7"/>
    <col width="13" customWidth="1" min="8" max="8"/>
  </cols>
  <sheetData>
    <row r="1">
      <c r="A1" s="5" t="inlineStr">
        <is>
          <t>Simulação</t>
        </is>
      </c>
      <c r="B1" s="5" t="inlineStr">
        <is>
          <t>Lucro ou prejuízo final (R$)</t>
        </is>
      </c>
      <c r="D1" s="29" t="inlineStr">
        <is>
          <t>Número que aparece na tela</t>
        </is>
      </c>
      <c r="E1" s="29" t="inlineStr">
        <is>
          <t>Excel (fórmula)</t>
        </is>
      </c>
      <c r="F1" s="29" t="inlineStr">
        <is>
          <t>Python (simulador)</t>
        </is>
      </c>
      <c r="G1" s="29" t="inlineStr">
        <is>
          <t>Diferença</t>
        </is>
      </c>
      <c r="H1" s="29" t="inlineStr">
        <is>
          <t>Situação</t>
        </is>
      </c>
    </row>
    <row r="2">
      <c r="A2" s="18" t="n">
        <v>1</v>
      </c>
      <c r="B2" s="23" t="n">
        <v>-880</v>
      </c>
      <c r="D2" s="6" t="inlineStr">
        <is>
          <t>Resultado típico (mediana)</t>
        </is>
      </c>
      <c r="E2" s="22">
        <f>MEDIAN(B2:B2001)</f>
        <v/>
      </c>
      <c r="F2" s="23" t="n">
        <v>-640</v>
      </c>
      <c r="G2" s="16">
        <f>E2-F2</f>
        <v/>
      </c>
      <c r="H2" s="6">
        <f>IF(ABS(G2)&lt;=0.01,"OK","VERIFICAR")</f>
        <v/>
      </c>
    </row>
    <row r="3">
      <c r="A3" s="18" t="n">
        <v>2</v>
      </c>
      <c r="B3" s="23" t="n">
        <v>-1040</v>
      </c>
      <c r="D3" s="6" t="inlineStr">
        <is>
          <t>Pior caso da faixa (5%)</t>
        </is>
      </c>
      <c r="E3" s="22">
        <f>PERCENTILE(B2:B2001,0.05)</f>
        <v/>
      </c>
      <c r="F3" s="23" t="n">
        <v>-1400</v>
      </c>
      <c r="G3" s="16">
        <f>E3-F3</f>
        <v/>
      </c>
      <c r="H3" s="6">
        <f>IF(ABS(G3)&lt;=0.01,"OK","VERIFICAR")</f>
        <v/>
      </c>
    </row>
    <row r="4">
      <c r="A4" s="18" t="n">
        <v>3</v>
      </c>
      <c r="B4" s="23" t="n">
        <v>-80</v>
      </c>
      <c r="D4" s="6" t="inlineStr">
        <is>
          <t>Melhor caso da faixa (95%)</t>
        </is>
      </c>
      <c r="E4" s="22">
        <f>PERCENTILE(B2:B2001,0.95)</f>
        <v/>
      </c>
      <c r="F4" s="23" t="n">
        <v>80</v>
      </c>
      <c r="G4" s="16">
        <f>E4-F4</f>
        <v/>
      </c>
      <c r="H4" s="6">
        <f>IF(ABS(G4)&lt;=0.01,"OK","VERIFICAR")</f>
        <v/>
      </c>
    </row>
    <row r="5">
      <c r="A5" s="18" t="n">
        <v>4</v>
      </c>
      <c r="B5" s="23" t="n">
        <v>-680</v>
      </c>
      <c r="D5" s="6" t="inlineStr">
        <is>
          <t>Chance de terminar no lucro</t>
        </is>
      </c>
      <c r="E5" s="14">
        <f>COUNTIF(B2:B2001,"&gt;0")/COUNT(B2:B2001)</f>
        <v/>
      </c>
      <c r="F5" s="15" t="n">
        <v>0.0625</v>
      </c>
      <c r="G5" s="16">
        <f>E5-F5</f>
        <v/>
      </c>
      <c r="H5" s="6">
        <f>IF(ABS(G5)&lt;=0.01,"OK","VERIFICAR")</f>
        <v/>
      </c>
    </row>
    <row r="6">
      <c r="A6" s="18" t="n">
        <v>5</v>
      </c>
      <c r="B6" s="23" t="n">
        <v>-1200</v>
      </c>
      <c r="D6" s="6" t="inlineStr">
        <is>
          <t>Resultado médio</t>
        </is>
      </c>
      <c r="E6" s="22">
        <f>AVERAGE(B2:B2001)</f>
        <v/>
      </c>
      <c r="F6" s="23" t="n">
        <v>-650.04</v>
      </c>
      <c r="G6" s="16">
        <f>E6-F6</f>
        <v/>
      </c>
      <c r="H6" s="6">
        <f>IF(ABS(G6)&lt;=0.01,"OK","VERIFICAR")</f>
        <v/>
      </c>
    </row>
    <row r="7">
      <c r="A7" s="18" t="n">
        <v>6</v>
      </c>
      <c r="B7" s="23" t="n">
        <v>-480</v>
      </c>
    </row>
    <row r="8">
      <c r="A8" s="18" t="n">
        <v>7</v>
      </c>
      <c r="B8" s="23" t="n">
        <v>-240</v>
      </c>
    </row>
    <row r="9">
      <c r="A9" s="18" t="n">
        <v>8</v>
      </c>
      <c r="B9" s="23" t="n">
        <v>-1320</v>
      </c>
    </row>
    <row r="10">
      <c r="A10" s="18" t="n">
        <v>9</v>
      </c>
      <c r="B10" s="23" t="n">
        <v>-520</v>
      </c>
    </row>
    <row r="11">
      <c r="A11" s="18" t="n">
        <v>10</v>
      </c>
      <c r="B11" s="23" t="n">
        <v>-600</v>
      </c>
    </row>
    <row r="12">
      <c r="A12" s="18" t="n">
        <v>11</v>
      </c>
      <c r="B12" s="23" t="n">
        <v>40</v>
      </c>
    </row>
    <row r="13">
      <c r="A13" s="18" t="n">
        <v>12</v>
      </c>
      <c r="B13" s="23" t="n">
        <v>-320</v>
      </c>
    </row>
    <row r="14">
      <c r="A14" s="18" t="n">
        <v>13</v>
      </c>
      <c r="B14" s="23" t="n">
        <v>-920</v>
      </c>
    </row>
    <row r="15">
      <c r="A15" s="18" t="n">
        <v>14</v>
      </c>
      <c r="B15" s="23" t="n">
        <v>-1080</v>
      </c>
    </row>
    <row r="16">
      <c r="A16" s="18" t="n">
        <v>15</v>
      </c>
      <c r="B16" s="23" t="n">
        <v>-920</v>
      </c>
    </row>
    <row r="17">
      <c r="A17" s="18" t="n">
        <v>16</v>
      </c>
      <c r="B17" s="23" t="n">
        <v>-840</v>
      </c>
    </row>
    <row r="18">
      <c r="A18" s="18" t="n">
        <v>17</v>
      </c>
      <c r="B18" s="23" t="n">
        <v>-360</v>
      </c>
    </row>
    <row r="19">
      <c r="A19" s="18" t="n">
        <v>18</v>
      </c>
      <c r="B19" s="23" t="n">
        <v>-480</v>
      </c>
    </row>
    <row r="20">
      <c r="A20" s="18" t="n">
        <v>19</v>
      </c>
      <c r="B20" s="23" t="n">
        <v>-960</v>
      </c>
    </row>
    <row r="21">
      <c r="A21" s="18" t="n">
        <v>20</v>
      </c>
      <c r="B21" s="23" t="n">
        <v>-200</v>
      </c>
    </row>
    <row r="22">
      <c r="A22" s="18" t="n">
        <v>21</v>
      </c>
      <c r="B22" s="23" t="n">
        <v>-1040</v>
      </c>
    </row>
    <row r="23">
      <c r="A23" s="18" t="n">
        <v>22</v>
      </c>
      <c r="B23" s="23" t="n">
        <v>-1240</v>
      </c>
    </row>
    <row r="24">
      <c r="A24" s="18" t="n">
        <v>23</v>
      </c>
      <c r="B24" s="23" t="n">
        <v>40</v>
      </c>
    </row>
    <row r="25">
      <c r="A25" s="18" t="n">
        <v>24</v>
      </c>
      <c r="B25" s="23" t="n">
        <v>-520</v>
      </c>
    </row>
    <row r="26">
      <c r="A26" s="18" t="n">
        <v>25</v>
      </c>
      <c r="B26" s="23" t="n">
        <v>-600</v>
      </c>
    </row>
    <row r="27">
      <c r="A27" s="18" t="n">
        <v>26</v>
      </c>
      <c r="B27" s="23" t="n">
        <v>-1360</v>
      </c>
    </row>
    <row r="28">
      <c r="A28" s="18" t="n">
        <v>27</v>
      </c>
      <c r="B28" s="23" t="n">
        <v>-640</v>
      </c>
    </row>
    <row r="29">
      <c r="A29" s="18" t="n">
        <v>28</v>
      </c>
      <c r="B29" s="23" t="n">
        <v>-800</v>
      </c>
    </row>
    <row r="30">
      <c r="A30" s="18" t="n">
        <v>29</v>
      </c>
      <c r="B30" s="23" t="n">
        <v>-1400</v>
      </c>
    </row>
    <row r="31">
      <c r="A31" s="18" t="n">
        <v>30</v>
      </c>
      <c r="B31" s="23" t="n">
        <v>-880</v>
      </c>
    </row>
    <row r="32">
      <c r="A32" s="18" t="n">
        <v>31</v>
      </c>
      <c r="B32" s="23" t="n">
        <v>-800</v>
      </c>
    </row>
    <row r="33">
      <c r="A33" s="18" t="n">
        <v>32</v>
      </c>
      <c r="B33" s="23" t="n">
        <v>-960</v>
      </c>
    </row>
    <row r="34">
      <c r="A34" s="18" t="n">
        <v>33</v>
      </c>
      <c r="B34" s="23" t="n">
        <v>-640</v>
      </c>
    </row>
    <row r="35">
      <c r="A35" s="18" t="n">
        <v>34</v>
      </c>
      <c r="B35" s="23" t="n">
        <v>-1320</v>
      </c>
    </row>
    <row r="36">
      <c r="A36" s="18" t="n">
        <v>35</v>
      </c>
      <c r="B36" s="23" t="n">
        <v>-360</v>
      </c>
    </row>
    <row r="37">
      <c r="A37" s="18" t="n">
        <v>36</v>
      </c>
      <c r="B37" s="23" t="n">
        <v>-840</v>
      </c>
    </row>
    <row r="38">
      <c r="A38" s="18" t="n">
        <v>37</v>
      </c>
      <c r="B38" s="23" t="n">
        <v>-640</v>
      </c>
    </row>
    <row r="39">
      <c r="A39" s="18" t="n">
        <v>38</v>
      </c>
      <c r="B39" s="23" t="n">
        <v>-800</v>
      </c>
    </row>
    <row r="40">
      <c r="A40" s="18" t="n">
        <v>39</v>
      </c>
      <c r="B40" s="23" t="n">
        <v>-1280</v>
      </c>
    </row>
    <row r="41">
      <c r="A41" s="18" t="n">
        <v>40</v>
      </c>
      <c r="B41" s="23" t="n">
        <v>-1400</v>
      </c>
    </row>
    <row r="42">
      <c r="A42" s="18" t="n">
        <v>41</v>
      </c>
      <c r="B42" s="23" t="n">
        <v>-360</v>
      </c>
    </row>
    <row r="43">
      <c r="A43" s="18" t="n">
        <v>42</v>
      </c>
      <c r="B43" s="23" t="n">
        <v>-600</v>
      </c>
    </row>
    <row r="44">
      <c r="A44" s="18" t="n">
        <v>43</v>
      </c>
      <c r="B44" s="23" t="n">
        <v>-960</v>
      </c>
    </row>
    <row r="45">
      <c r="A45" s="18" t="n">
        <v>44</v>
      </c>
      <c r="B45" s="23" t="n">
        <v>-640</v>
      </c>
    </row>
    <row r="46">
      <c r="A46" s="18" t="n">
        <v>45</v>
      </c>
      <c r="B46" s="23" t="n">
        <v>-40</v>
      </c>
    </row>
    <row r="47">
      <c r="A47" s="18" t="n">
        <v>46</v>
      </c>
      <c r="B47" s="23" t="n">
        <v>-400</v>
      </c>
    </row>
    <row r="48">
      <c r="A48" s="18" t="n">
        <v>47</v>
      </c>
      <c r="B48" s="23" t="n">
        <v>-640</v>
      </c>
    </row>
    <row r="49">
      <c r="A49" s="18" t="n">
        <v>48</v>
      </c>
      <c r="B49" s="23" t="n">
        <v>-960</v>
      </c>
    </row>
    <row r="50">
      <c r="A50" s="18" t="n">
        <v>49</v>
      </c>
      <c r="B50" s="23" t="n">
        <v>-320</v>
      </c>
    </row>
    <row r="51">
      <c r="A51" s="18" t="n">
        <v>50</v>
      </c>
      <c r="B51" s="23" t="n">
        <v>-680</v>
      </c>
    </row>
    <row r="52">
      <c r="A52" s="18" t="n">
        <v>51</v>
      </c>
      <c r="B52" s="23" t="n">
        <v>-480</v>
      </c>
    </row>
    <row r="53">
      <c r="A53" s="18" t="n">
        <v>52</v>
      </c>
      <c r="B53" s="23" t="n">
        <v>40</v>
      </c>
    </row>
    <row r="54">
      <c r="A54" s="18" t="n">
        <v>53</v>
      </c>
      <c r="B54" s="23" t="n">
        <v>280</v>
      </c>
    </row>
    <row r="55">
      <c r="A55" s="18" t="n">
        <v>54</v>
      </c>
      <c r="B55" s="23" t="n">
        <v>-440</v>
      </c>
    </row>
    <row r="56">
      <c r="A56" s="18" t="n">
        <v>55</v>
      </c>
      <c r="B56" s="23" t="n">
        <v>-120</v>
      </c>
    </row>
    <row r="57">
      <c r="A57" s="18" t="n">
        <v>56</v>
      </c>
      <c r="B57" s="23" t="n">
        <v>-1760</v>
      </c>
    </row>
    <row r="58">
      <c r="A58" s="18" t="n">
        <v>57</v>
      </c>
      <c r="B58" s="23" t="n">
        <v>-240</v>
      </c>
    </row>
    <row r="59">
      <c r="A59" s="18" t="n">
        <v>58</v>
      </c>
      <c r="B59" s="23" t="n">
        <v>-880</v>
      </c>
    </row>
    <row r="60">
      <c r="A60" s="18" t="n">
        <v>59</v>
      </c>
      <c r="B60" s="23" t="n">
        <v>-520</v>
      </c>
    </row>
    <row r="61">
      <c r="A61" s="18" t="n">
        <v>60</v>
      </c>
      <c r="B61" s="23" t="n">
        <v>-440</v>
      </c>
    </row>
    <row r="62">
      <c r="A62" s="18" t="n">
        <v>61</v>
      </c>
      <c r="B62" s="23" t="n">
        <v>200</v>
      </c>
    </row>
    <row r="63">
      <c r="A63" s="18" t="n">
        <v>62</v>
      </c>
      <c r="B63" s="23" t="n">
        <v>-520</v>
      </c>
    </row>
    <row r="64">
      <c r="A64" s="18" t="n">
        <v>63</v>
      </c>
      <c r="B64" s="23" t="n">
        <v>-1400</v>
      </c>
    </row>
    <row r="65">
      <c r="A65" s="18" t="n">
        <v>64</v>
      </c>
      <c r="B65" s="23" t="n">
        <v>-1120</v>
      </c>
    </row>
    <row r="66">
      <c r="A66" s="18" t="n">
        <v>65</v>
      </c>
      <c r="B66" s="23" t="n">
        <v>-640</v>
      </c>
    </row>
    <row r="67">
      <c r="A67" s="18" t="n">
        <v>66</v>
      </c>
      <c r="B67" s="23" t="n">
        <v>-1160</v>
      </c>
    </row>
    <row r="68">
      <c r="A68" s="18" t="n">
        <v>67</v>
      </c>
      <c r="B68" s="23" t="n">
        <v>-520</v>
      </c>
    </row>
    <row r="69">
      <c r="A69" s="18" t="n">
        <v>68</v>
      </c>
      <c r="B69" s="23" t="n">
        <v>-160</v>
      </c>
    </row>
    <row r="70">
      <c r="A70" s="18" t="n">
        <v>69</v>
      </c>
      <c r="B70" s="23" t="n">
        <v>80</v>
      </c>
    </row>
    <row r="71">
      <c r="A71" s="18" t="n">
        <v>70</v>
      </c>
      <c r="B71" s="23" t="n">
        <v>-760</v>
      </c>
    </row>
    <row r="72">
      <c r="A72" s="18" t="n">
        <v>71</v>
      </c>
      <c r="B72" s="23" t="n">
        <v>600</v>
      </c>
    </row>
    <row r="73">
      <c r="A73" s="18" t="n">
        <v>72</v>
      </c>
      <c r="B73" s="23" t="n">
        <v>-1080</v>
      </c>
    </row>
    <row r="74">
      <c r="A74" s="18" t="n">
        <v>73</v>
      </c>
      <c r="B74" s="23" t="n">
        <v>-1560</v>
      </c>
    </row>
    <row r="75">
      <c r="A75" s="18" t="n">
        <v>74</v>
      </c>
      <c r="B75" s="23" t="n">
        <v>-1440</v>
      </c>
    </row>
    <row r="76">
      <c r="A76" s="18" t="n">
        <v>75</v>
      </c>
      <c r="B76" s="23" t="n">
        <v>-480</v>
      </c>
    </row>
    <row r="77">
      <c r="A77" s="18" t="n">
        <v>76</v>
      </c>
      <c r="B77" s="23" t="n">
        <v>-800</v>
      </c>
    </row>
    <row r="78">
      <c r="A78" s="18" t="n">
        <v>77</v>
      </c>
      <c r="B78" s="23" t="n">
        <v>-480</v>
      </c>
    </row>
    <row r="79">
      <c r="A79" s="18" t="n">
        <v>78</v>
      </c>
      <c r="B79" s="23" t="n">
        <v>-960</v>
      </c>
    </row>
    <row r="80">
      <c r="A80" s="18" t="n">
        <v>79</v>
      </c>
      <c r="B80" s="23" t="n">
        <v>-920</v>
      </c>
    </row>
    <row r="81">
      <c r="A81" s="18" t="n">
        <v>80</v>
      </c>
      <c r="B81" s="23" t="n">
        <v>-600</v>
      </c>
    </row>
    <row r="82">
      <c r="A82" s="18" t="n">
        <v>81</v>
      </c>
      <c r="B82" s="23" t="n">
        <v>-200</v>
      </c>
    </row>
    <row r="83">
      <c r="A83" s="18" t="n">
        <v>82</v>
      </c>
      <c r="B83" s="23" t="n">
        <v>-1280</v>
      </c>
    </row>
    <row r="84">
      <c r="A84" s="18" t="n">
        <v>83</v>
      </c>
      <c r="B84" s="23" t="n">
        <v>-440</v>
      </c>
    </row>
    <row r="85">
      <c r="A85" s="18" t="n">
        <v>84</v>
      </c>
      <c r="B85" s="23" t="n">
        <v>-1240</v>
      </c>
    </row>
    <row r="86">
      <c r="A86" s="18" t="n">
        <v>85</v>
      </c>
      <c r="B86" s="23" t="n">
        <v>-1120</v>
      </c>
    </row>
    <row r="87">
      <c r="A87" s="18" t="n">
        <v>86</v>
      </c>
      <c r="B87" s="23" t="n">
        <v>-760</v>
      </c>
    </row>
    <row r="88">
      <c r="A88" s="18" t="n">
        <v>87</v>
      </c>
      <c r="B88" s="23" t="n">
        <v>-1080</v>
      </c>
    </row>
    <row r="89">
      <c r="A89" s="18" t="n">
        <v>88</v>
      </c>
      <c r="B89" s="23" t="n">
        <v>-800</v>
      </c>
    </row>
    <row r="90">
      <c r="A90" s="18" t="n">
        <v>89</v>
      </c>
      <c r="B90" s="23" t="n">
        <v>-400</v>
      </c>
    </row>
    <row r="91">
      <c r="A91" s="18" t="n">
        <v>90</v>
      </c>
      <c r="B91" s="23" t="n">
        <v>760</v>
      </c>
    </row>
    <row r="92">
      <c r="A92" s="18" t="n">
        <v>91</v>
      </c>
      <c r="B92" s="23" t="n">
        <v>80</v>
      </c>
    </row>
    <row r="93">
      <c r="A93" s="18" t="n">
        <v>92</v>
      </c>
      <c r="B93" s="23" t="n">
        <v>-480</v>
      </c>
    </row>
    <row r="94">
      <c r="A94" s="18" t="n">
        <v>93</v>
      </c>
      <c r="B94" s="23" t="n">
        <v>-400</v>
      </c>
    </row>
    <row r="95">
      <c r="A95" s="18" t="n">
        <v>94</v>
      </c>
      <c r="B95" s="23" t="n">
        <v>240</v>
      </c>
    </row>
    <row r="96">
      <c r="A96" s="18" t="n">
        <v>95</v>
      </c>
      <c r="B96" s="23" t="n">
        <v>-600</v>
      </c>
    </row>
    <row r="97">
      <c r="A97" s="18" t="n">
        <v>96</v>
      </c>
      <c r="B97" s="23" t="n">
        <v>-1320</v>
      </c>
    </row>
    <row r="98">
      <c r="A98" s="18" t="n">
        <v>97</v>
      </c>
      <c r="B98" s="23" t="n">
        <v>-360</v>
      </c>
    </row>
    <row r="99">
      <c r="A99" s="18" t="n">
        <v>98</v>
      </c>
      <c r="B99" s="23" t="n">
        <v>-720</v>
      </c>
    </row>
    <row r="100">
      <c r="A100" s="18" t="n">
        <v>99</v>
      </c>
      <c r="B100" s="23" t="n">
        <v>-600</v>
      </c>
    </row>
    <row r="101">
      <c r="A101" s="18" t="n">
        <v>100</v>
      </c>
      <c r="B101" s="23" t="n">
        <v>-800</v>
      </c>
    </row>
    <row r="102">
      <c r="A102" s="18" t="n">
        <v>101</v>
      </c>
      <c r="B102" s="23" t="n">
        <v>-480</v>
      </c>
    </row>
    <row r="103">
      <c r="A103" s="18" t="n">
        <v>102</v>
      </c>
      <c r="B103" s="23" t="n">
        <v>-80</v>
      </c>
    </row>
    <row r="104">
      <c r="A104" s="18" t="n">
        <v>103</v>
      </c>
      <c r="B104" s="23" t="n">
        <v>-80</v>
      </c>
    </row>
    <row r="105">
      <c r="A105" s="18" t="n">
        <v>104</v>
      </c>
      <c r="B105" s="23" t="n">
        <v>-800</v>
      </c>
    </row>
    <row r="106">
      <c r="A106" s="18" t="n">
        <v>105</v>
      </c>
      <c r="B106" s="23" t="n">
        <v>-760</v>
      </c>
    </row>
    <row r="107">
      <c r="A107" s="18" t="n">
        <v>106</v>
      </c>
      <c r="B107" s="23" t="n">
        <v>-720</v>
      </c>
    </row>
    <row r="108">
      <c r="A108" s="18" t="n">
        <v>107</v>
      </c>
      <c r="B108" s="23" t="n">
        <v>-880</v>
      </c>
    </row>
    <row r="109">
      <c r="A109" s="18" t="n">
        <v>108</v>
      </c>
      <c r="B109" s="23" t="n">
        <v>-280</v>
      </c>
    </row>
    <row r="110">
      <c r="A110" s="18" t="n">
        <v>109</v>
      </c>
      <c r="B110" s="23" t="n">
        <v>-480</v>
      </c>
    </row>
    <row r="111">
      <c r="A111" s="18" t="n">
        <v>110</v>
      </c>
      <c r="B111" s="23" t="n">
        <v>-640</v>
      </c>
    </row>
    <row r="112">
      <c r="A112" s="18" t="n">
        <v>111</v>
      </c>
      <c r="B112" s="23" t="n">
        <v>-760</v>
      </c>
    </row>
    <row r="113">
      <c r="A113" s="18" t="n">
        <v>112</v>
      </c>
      <c r="B113" s="23" t="n">
        <v>-840</v>
      </c>
    </row>
    <row r="114">
      <c r="A114" s="18" t="n">
        <v>113</v>
      </c>
      <c r="B114" s="23" t="n">
        <v>-880</v>
      </c>
    </row>
    <row r="115">
      <c r="A115" s="18" t="n">
        <v>114</v>
      </c>
      <c r="B115" s="23" t="n">
        <v>-120</v>
      </c>
    </row>
    <row r="116">
      <c r="A116" s="18" t="n">
        <v>115</v>
      </c>
      <c r="B116" s="23" t="n">
        <v>-600</v>
      </c>
    </row>
    <row r="117">
      <c r="A117" s="18" t="n">
        <v>116</v>
      </c>
      <c r="B117" s="23" t="n">
        <v>80</v>
      </c>
    </row>
    <row r="118">
      <c r="A118" s="18" t="n">
        <v>117</v>
      </c>
      <c r="B118" s="23" t="n">
        <v>-920</v>
      </c>
    </row>
    <row r="119">
      <c r="A119" s="18" t="n">
        <v>118</v>
      </c>
      <c r="B119" s="23" t="n">
        <v>-1120</v>
      </c>
    </row>
    <row r="120">
      <c r="A120" s="18" t="n">
        <v>119</v>
      </c>
      <c r="B120" s="23" t="n">
        <v>-200</v>
      </c>
    </row>
    <row r="121">
      <c r="A121" s="18" t="n">
        <v>120</v>
      </c>
      <c r="B121" s="23" t="n">
        <v>-800</v>
      </c>
    </row>
    <row r="122">
      <c r="A122" s="18" t="n">
        <v>121</v>
      </c>
      <c r="B122" s="23" t="n">
        <v>-880</v>
      </c>
    </row>
    <row r="123">
      <c r="A123" s="18" t="n">
        <v>122</v>
      </c>
      <c r="B123" s="23" t="n">
        <v>-880</v>
      </c>
    </row>
    <row r="124">
      <c r="A124" s="18" t="n">
        <v>123</v>
      </c>
      <c r="B124" s="23" t="n">
        <v>-640</v>
      </c>
    </row>
    <row r="125">
      <c r="A125" s="18" t="n">
        <v>124</v>
      </c>
      <c r="B125" s="23" t="n">
        <v>-320</v>
      </c>
    </row>
    <row r="126">
      <c r="A126" s="18" t="n">
        <v>125</v>
      </c>
      <c r="B126" s="23" t="n">
        <v>-200</v>
      </c>
    </row>
    <row r="127">
      <c r="A127" s="18" t="n">
        <v>126</v>
      </c>
      <c r="B127" s="23" t="n">
        <v>-320</v>
      </c>
    </row>
    <row r="128">
      <c r="A128" s="18" t="n">
        <v>127</v>
      </c>
      <c r="B128" s="23" t="n">
        <v>-960</v>
      </c>
    </row>
    <row r="129">
      <c r="A129" s="18" t="n">
        <v>128</v>
      </c>
      <c r="B129" s="23" t="n">
        <v>200</v>
      </c>
    </row>
    <row r="130">
      <c r="A130" s="18" t="n">
        <v>129</v>
      </c>
      <c r="B130" s="23" t="n">
        <v>-840</v>
      </c>
    </row>
    <row r="131">
      <c r="A131" s="18" t="n">
        <v>130</v>
      </c>
      <c r="B131" s="23" t="n">
        <v>-480</v>
      </c>
    </row>
    <row r="132">
      <c r="A132" s="18" t="n">
        <v>131</v>
      </c>
      <c r="B132" s="23" t="n">
        <v>-480</v>
      </c>
    </row>
    <row r="133">
      <c r="A133" s="18" t="n">
        <v>132</v>
      </c>
      <c r="B133" s="23" t="n">
        <v>-520</v>
      </c>
    </row>
    <row r="134">
      <c r="A134" s="18" t="n">
        <v>133</v>
      </c>
      <c r="B134" s="23" t="n">
        <v>200</v>
      </c>
    </row>
    <row r="135">
      <c r="A135" s="18" t="n">
        <v>134</v>
      </c>
      <c r="B135" s="23" t="n">
        <v>-440</v>
      </c>
    </row>
    <row r="136">
      <c r="A136" s="18" t="n">
        <v>135</v>
      </c>
      <c r="B136" s="23" t="n">
        <v>-40</v>
      </c>
    </row>
    <row r="137">
      <c r="A137" s="18" t="n">
        <v>136</v>
      </c>
      <c r="B137" s="23" t="n">
        <v>-960</v>
      </c>
    </row>
    <row r="138">
      <c r="A138" s="18" t="n">
        <v>137</v>
      </c>
      <c r="B138" s="23" t="n">
        <v>-760</v>
      </c>
    </row>
    <row r="139">
      <c r="A139" s="18" t="n">
        <v>138</v>
      </c>
      <c r="B139" s="23" t="n">
        <v>40</v>
      </c>
    </row>
    <row r="140">
      <c r="A140" s="18" t="n">
        <v>139</v>
      </c>
      <c r="B140" s="23" t="n">
        <v>-1560</v>
      </c>
    </row>
    <row r="141">
      <c r="A141" s="18" t="n">
        <v>140</v>
      </c>
      <c r="B141" s="23" t="n">
        <v>-480</v>
      </c>
    </row>
    <row r="142">
      <c r="A142" s="18" t="n">
        <v>141</v>
      </c>
      <c r="B142" s="23" t="n">
        <v>-960</v>
      </c>
    </row>
    <row r="143">
      <c r="A143" s="18" t="n">
        <v>142</v>
      </c>
      <c r="B143" s="23" t="n">
        <v>-360</v>
      </c>
    </row>
    <row r="144">
      <c r="A144" s="18" t="n">
        <v>143</v>
      </c>
      <c r="B144" s="23" t="n">
        <v>-1000</v>
      </c>
    </row>
    <row r="145">
      <c r="A145" s="18" t="n">
        <v>144</v>
      </c>
      <c r="B145" s="23" t="n">
        <v>-520</v>
      </c>
    </row>
    <row r="146">
      <c r="A146" s="18" t="n">
        <v>145</v>
      </c>
      <c r="B146" s="23" t="n">
        <v>-560</v>
      </c>
    </row>
    <row r="147">
      <c r="A147" s="18" t="n">
        <v>146</v>
      </c>
      <c r="B147" s="23" t="n">
        <v>-880</v>
      </c>
    </row>
    <row r="148">
      <c r="A148" s="18" t="n">
        <v>147</v>
      </c>
      <c r="B148" s="23" t="n">
        <v>-720</v>
      </c>
    </row>
    <row r="149">
      <c r="A149" s="18" t="n">
        <v>148</v>
      </c>
      <c r="B149" s="23" t="n">
        <v>-800</v>
      </c>
    </row>
    <row r="150">
      <c r="A150" s="18" t="n">
        <v>149</v>
      </c>
      <c r="B150" s="23" t="n">
        <v>-880</v>
      </c>
    </row>
    <row r="151">
      <c r="A151" s="18" t="n">
        <v>150</v>
      </c>
      <c r="B151" s="23" t="n">
        <v>-1000</v>
      </c>
    </row>
    <row r="152">
      <c r="A152" s="18" t="n">
        <v>151</v>
      </c>
      <c r="B152" s="23" t="n">
        <v>-880</v>
      </c>
    </row>
    <row r="153">
      <c r="A153" s="18" t="n">
        <v>152</v>
      </c>
      <c r="B153" s="23" t="n">
        <v>-680</v>
      </c>
    </row>
    <row r="154">
      <c r="A154" s="18" t="n">
        <v>153</v>
      </c>
      <c r="B154" s="23" t="n">
        <v>-1640</v>
      </c>
    </row>
    <row r="155">
      <c r="A155" s="18" t="n">
        <v>154</v>
      </c>
      <c r="B155" s="23" t="n">
        <v>-80</v>
      </c>
    </row>
    <row r="156">
      <c r="A156" s="18" t="n">
        <v>155</v>
      </c>
      <c r="B156" s="23" t="n">
        <v>-1240</v>
      </c>
    </row>
    <row r="157">
      <c r="A157" s="18" t="n">
        <v>156</v>
      </c>
      <c r="B157" s="23" t="n">
        <v>-560</v>
      </c>
    </row>
    <row r="158">
      <c r="A158" s="18" t="n">
        <v>157</v>
      </c>
      <c r="B158" s="23" t="n">
        <v>-720</v>
      </c>
    </row>
    <row r="159">
      <c r="A159" s="18" t="n">
        <v>158</v>
      </c>
      <c r="B159" s="23" t="n">
        <v>-680</v>
      </c>
    </row>
    <row r="160">
      <c r="A160" s="18" t="n">
        <v>159</v>
      </c>
      <c r="B160" s="23" t="n">
        <v>-1080</v>
      </c>
    </row>
    <row r="161">
      <c r="A161" s="18" t="n">
        <v>160</v>
      </c>
      <c r="B161" s="23" t="n">
        <v>-1080</v>
      </c>
    </row>
    <row r="162">
      <c r="A162" s="18" t="n">
        <v>161</v>
      </c>
      <c r="B162" s="23" t="n">
        <v>-920</v>
      </c>
    </row>
    <row r="163">
      <c r="A163" s="18" t="n">
        <v>162</v>
      </c>
      <c r="B163" s="23" t="n">
        <v>-720</v>
      </c>
    </row>
    <row r="164">
      <c r="A164" s="18" t="n">
        <v>163</v>
      </c>
      <c r="B164" s="23" t="n">
        <v>-40</v>
      </c>
    </row>
    <row r="165">
      <c r="A165" s="18" t="n">
        <v>164</v>
      </c>
      <c r="B165" s="23" t="n">
        <v>-1760</v>
      </c>
    </row>
    <row r="166">
      <c r="A166" s="18" t="n">
        <v>165</v>
      </c>
      <c r="B166" s="23" t="n">
        <v>-480</v>
      </c>
    </row>
    <row r="167">
      <c r="A167" s="18" t="n">
        <v>166</v>
      </c>
      <c r="B167" s="23" t="n">
        <v>-80</v>
      </c>
    </row>
    <row r="168">
      <c r="A168" s="18" t="n">
        <v>167</v>
      </c>
      <c r="B168" s="23" t="n">
        <v>-720</v>
      </c>
    </row>
    <row r="169">
      <c r="A169" s="18" t="n">
        <v>168</v>
      </c>
      <c r="B169" s="23" t="n">
        <v>-1040</v>
      </c>
    </row>
    <row r="170">
      <c r="A170" s="18" t="n">
        <v>169</v>
      </c>
      <c r="B170" s="23" t="n">
        <v>-1120</v>
      </c>
    </row>
    <row r="171">
      <c r="A171" s="18" t="n">
        <v>170</v>
      </c>
      <c r="B171" s="23" t="n">
        <v>400</v>
      </c>
    </row>
    <row r="172">
      <c r="A172" s="18" t="n">
        <v>171</v>
      </c>
      <c r="B172" s="23" t="n">
        <v>-280</v>
      </c>
    </row>
    <row r="173">
      <c r="A173" s="18" t="n">
        <v>172</v>
      </c>
      <c r="B173" s="23" t="n">
        <v>-600</v>
      </c>
    </row>
    <row r="174">
      <c r="A174" s="18" t="n">
        <v>173</v>
      </c>
      <c r="B174" s="23" t="n">
        <v>-440</v>
      </c>
    </row>
    <row r="175">
      <c r="A175" s="18" t="n">
        <v>174</v>
      </c>
      <c r="B175" s="23" t="n">
        <v>120</v>
      </c>
    </row>
    <row r="176">
      <c r="A176" s="18" t="n">
        <v>175</v>
      </c>
      <c r="B176" s="23" t="n">
        <v>-1080</v>
      </c>
    </row>
    <row r="177">
      <c r="A177" s="18" t="n">
        <v>176</v>
      </c>
      <c r="B177" s="23" t="n">
        <v>120</v>
      </c>
    </row>
    <row r="178">
      <c r="A178" s="18" t="n">
        <v>177</v>
      </c>
      <c r="B178" s="23" t="n">
        <v>-840</v>
      </c>
    </row>
    <row r="179">
      <c r="A179" s="18" t="n">
        <v>178</v>
      </c>
      <c r="B179" s="23" t="n">
        <v>160</v>
      </c>
    </row>
    <row r="180">
      <c r="A180" s="18" t="n">
        <v>179</v>
      </c>
      <c r="B180" s="23" t="n">
        <v>-840</v>
      </c>
    </row>
    <row r="181">
      <c r="A181" s="18" t="n">
        <v>180</v>
      </c>
      <c r="B181" s="23" t="n">
        <v>-800</v>
      </c>
    </row>
    <row r="182">
      <c r="A182" s="18" t="n">
        <v>181</v>
      </c>
      <c r="B182" s="23" t="n">
        <v>-960</v>
      </c>
    </row>
    <row r="183">
      <c r="A183" s="18" t="n">
        <v>182</v>
      </c>
      <c r="B183" s="23" t="n">
        <v>-480</v>
      </c>
    </row>
    <row r="184">
      <c r="A184" s="18" t="n">
        <v>183</v>
      </c>
      <c r="B184" s="23" t="n">
        <v>-480</v>
      </c>
    </row>
    <row r="185">
      <c r="A185" s="18" t="n">
        <v>184</v>
      </c>
      <c r="B185" s="23" t="n">
        <v>-720</v>
      </c>
    </row>
    <row r="186">
      <c r="A186" s="18" t="n">
        <v>185</v>
      </c>
      <c r="B186" s="23" t="n">
        <v>-1080</v>
      </c>
    </row>
    <row r="187">
      <c r="A187" s="18" t="n">
        <v>186</v>
      </c>
      <c r="B187" s="23" t="n">
        <v>-1520</v>
      </c>
    </row>
    <row r="188">
      <c r="A188" s="18" t="n">
        <v>187</v>
      </c>
      <c r="B188" s="23" t="n">
        <v>-360</v>
      </c>
    </row>
    <row r="189">
      <c r="A189" s="18" t="n">
        <v>188</v>
      </c>
      <c r="B189" s="23" t="n">
        <v>-880</v>
      </c>
    </row>
    <row r="190">
      <c r="A190" s="18" t="n">
        <v>189</v>
      </c>
      <c r="B190" s="23" t="n">
        <v>200</v>
      </c>
    </row>
    <row r="191">
      <c r="A191" s="18" t="n">
        <v>190</v>
      </c>
      <c r="B191" s="23" t="n">
        <v>-400</v>
      </c>
    </row>
    <row r="192">
      <c r="A192" s="18" t="n">
        <v>191</v>
      </c>
      <c r="B192" s="23" t="n">
        <v>-600</v>
      </c>
    </row>
    <row r="193">
      <c r="A193" s="18" t="n">
        <v>192</v>
      </c>
      <c r="B193" s="23" t="n">
        <v>-480</v>
      </c>
    </row>
    <row r="194">
      <c r="A194" s="18" t="n">
        <v>193</v>
      </c>
      <c r="B194" s="23" t="n">
        <v>-1040</v>
      </c>
    </row>
    <row r="195">
      <c r="A195" s="18" t="n">
        <v>194</v>
      </c>
      <c r="B195" s="23" t="n">
        <v>-160</v>
      </c>
    </row>
    <row r="196">
      <c r="A196" s="18" t="n">
        <v>195</v>
      </c>
      <c r="B196" s="23" t="n">
        <v>-1120</v>
      </c>
    </row>
    <row r="197">
      <c r="A197" s="18" t="n">
        <v>196</v>
      </c>
      <c r="B197" s="23" t="n">
        <v>-40</v>
      </c>
    </row>
    <row r="198">
      <c r="A198" s="18" t="n">
        <v>197</v>
      </c>
      <c r="B198" s="23" t="n">
        <v>-760</v>
      </c>
    </row>
    <row r="199">
      <c r="A199" s="18" t="n">
        <v>198</v>
      </c>
      <c r="B199" s="23" t="n">
        <v>-400</v>
      </c>
    </row>
    <row r="200">
      <c r="A200" s="18" t="n">
        <v>199</v>
      </c>
      <c r="B200" s="23" t="n">
        <v>-640</v>
      </c>
    </row>
    <row r="201">
      <c r="A201" s="18" t="n">
        <v>200</v>
      </c>
      <c r="B201" s="23" t="n">
        <v>-1080</v>
      </c>
    </row>
    <row r="202">
      <c r="A202" s="18" t="n">
        <v>201</v>
      </c>
      <c r="B202" s="23" t="n">
        <v>-280</v>
      </c>
    </row>
    <row r="203">
      <c r="A203" s="18" t="n">
        <v>202</v>
      </c>
      <c r="B203" s="23" t="n">
        <v>-80</v>
      </c>
    </row>
    <row r="204">
      <c r="A204" s="18" t="n">
        <v>203</v>
      </c>
      <c r="B204" s="23" t="n">
        <v>-1320</v>
      </c>
    </row>
    <row r="205">
      <c r="A205" s="18" t="n">
        <v>204</v>
      </c>
      <c r="B205" s="23" t="n">
        <v>-560</v>
      </c>
    </row>
    <row r="206">
      <c r="A206" s="18" t="n">
        <v>205</v>
      </c>
      <c r="B206" s="23" t="n">
        <v>-640</v>
      </c>
    </row>
    <row r="207">
      <c r="A207" s="18" t="n">
        <v>206</v>
      </c>
      <c r="B207" s="23" t="n">
        <v>-800</v>
      </c>
    </row>
    <row r="208">
      <c r="A208" s="18" t="n">
        <v>207</v>
      </c>
      <c r="B208" s="23" t="n">
        <v>-800</v>
      </c>
    </row>
    <row r="209">
      <c r="A209" s="18" t="n">
        <v>208</v>
      </c>
      <c r="B209" s="23" t="n">
        <v>-1280</v>
      </c>
    </row>
    <row r="210">
      <c r="A210" s="18" t="n">
        <v>209</v>
      </c>
      <c r="B210" s="23" t="n">
        <v>-240</v>
      </c>
    </row>
    <row r="211">
      <c r="A211" s="18" t="n">
        <v>210</v>
      </c>
      <c r="B211" s="23" t="n">
        <v>-320</v>
      </c>
    </row>
    <row r="212">
      <c r="A212" s="18" t="n">
        <v>211</v>
      </c>
      <c r="B212" s="23" t="n">
        <v>-640</v>
      </c>
    </row>
    <row r="213">
      <c r="A213" s="18" t="n">
        <v>212</v>
      </c>
      <c r="B213" s="23" t="n">
        <v>-880</v>
      </c>
    </row>
    <row r="214">
      <c r="A214" s="18" t="n">
        <v>213</v>
      </c>
      <c r="B214" s="23" t="n">
        <v>-1160</v>
      </c>
    </row>
    <row r="215">
      <c r="A215" s="18" t="n">
        <v>214</v>
      </c>
      <c r="B215" s="23" t="n">
        <v>-640</v>
      </c>
    </row>
    <row r="216">
      <c r="A216" s="18" t="n">
        <v>215</v>
      </c>
      <c r="B216" s="23" t="n">
        <v>-920</v>
      </c>
    </row>
    <row r="217">
      <c r="A217" s="18" t="n">
        <v>216</v>
      </c>
      <c r="B217" s="23" t="n">
        <v>-760</v>
      </c>
    </row>
    <row r="218">
      <c r="A218" s="18" t="n">
        <v>217</v>
      </c>
      <c r="B218" s="23" t="n">
        <v>-400</v>
      </c>
    </row>
    <row r="219">
      <c r="A219" s="18" t="n">
        <v>218</v>
      </c>
      <c r="B219" s="23" t="n">
        <v>-1080</v>
      </c>
    </row>
    <row r="220">
      <c r="A220" s="18" t="n">
        <v>219</v>
      </c>
      <c r="B220" s="23" t="n">
        <v>-1520</v>
      </c>
    </row>
    <row r="221">
      <c r="A221" s="18" t="n">
        <v>220</v>
      </c>
      <c r="B221" s="23" t="n">
        <v>-640</v>
      </c>
    </row>
    <row r="222">
      <c r="A222" s="18" t="n">
        <v>221</v>
      </c>
      <c r="B222" s="23" t="n">
        <v>-400</v>
      </c>
    </row>
    <row r="223">
      <c r="A223" s="18" t="n">
        <v>222</v>
      </c>
      <c r="B223" s="23" t="n">
        <v>-920</v>
      </c>
    </row>
    <row r="224">
      <c r="A224" s="18" t="n">
        <v>223</v>
      </c>
      <c r="B224" s="23" t="n">
        <v>-560</v>
      </c>
    </row>
    <row r="225">
      <c r="A225" s="18" t="n">
        <v>224</v>
      </c>
      <c r="B225" s="23" t="n">
        <v>-1520</v>
      </c>
    </row>
    <row r="226">
      <c r="A226" s="18" t="n">
        <v>225</v>
      </c>
      <c r="B226" s="23" t="n">
        <v>-480</v>
      </c>
    </row>
    <row r="227">
      <c r="A227" s="18" t="n">
        <v>226</v>
      </c>
      <c r="B227" s="23" t="n">
        <v>-1080</v>
      </c>
    </row>
    <row r="228">
      <c r="A228" s="18" t="n">
        <v>227</v>
      </c>
      <c r="B228" s="23" t="n">
        <v>-1000</v>
      </c>
    </row>
    <row r="229">
      <c r="A229" s="18" t="n">
        <v>228</v>
      </c>
      <c r="B229" s="23" t="n">
        <v>-400</v>
      </c>
    </row>
    <row r="230">
      <c r="A230" s="18" t="n">
        <v>229</v>
      </c>
      <c r="B230" s="23" t="n">
        <v>-520</v>
      </c>
    </row>
    <row r="231">
      <c r="A231" s="18" t="n">
        <v>230</v>
      </c>
      <c r="B231" s="23" t="n">
        <v>-80</v>
      </c>
    </row>
    <row r="232">
      <c r="A232" s="18" t="n">
        <v>231</v>
      </c>
      <c r="B232" s="23" t="n">
        <v>-960</v>
      </c>
    </row>
    <row r="233">
      <c r="A233" s="18" t="n">
        <v>232</v>
      </c>
      <c r="B233" s="23" t="n">
        <v>-560</v>
      </c>
    </row>
    <row r="234">
      <c r="A234" s="18" t="n">
        <v>233</v>
      </c>
      <c r="B234" s="23" t="n">
        <v>-560</v>
      </c>
    </row>
    <row r="235">
      <c r="A235" s="18" t="n">
        <v>234</v>
      </c>
      <c r="B235" s="23" t="n">
        <v>-520</v>
      </c>
    </row>
    <row r="236">
      <c r="A236" s="18" t="n">
        <v>235</v>
      </c>
      <c r="B236" s="23" t="n">
        <v>-640</v>
      </c>
    </row>
    <row r="237">
      <c r="A237" s="18" t="n">
        <v>236</v>
      </c>
      <c r="B237" s="23" t="n">
        <v>-80</v>
      </c>
    </row>
    <row r="238">
      <c r="A238" s="18" t="n">
        <v>237</v>
      </c>
      <c r="B238" s="23" t="n">
        <v>-1120</v>
      </c>
    </row>
    <row r="239">
      <c r="A239" s="18" t="n">
        <v>238</v>
      </c>
      <c r="B239" s="23" t="n">
        <v>-280</v>
      </c>
    </row>
    <row r="240">
      <c r="A240" s="18" t="n">
        <v>239</v>
      </c>
      <c r="B240" s="23" t="n">
        <v>-800</v>
      </c>
    </row>
    <row r="241">
      <c r="A241" s="18" t="n">
        <v>240</v>
      </c>
      <c r="B241" s="23" t="n">
        <v>-80</v>
      </c>
    </row>
    <row r="242">
      <c r="A242" s="18" t="n">
        <v>241</v>
      </c>
      <c r="B242" s="23" t="n">
        <v>-720</v>
      </c>
    </row>
    <row r="243">
      <c r="A243" s="18" t="n">
        <v>242</v>
      </c>
      <c r="B243" s="23" t="n">
        <v>-640</v>
      </c>
    </row>
    <row r="244">
      <c r="A244" s="18" t="n">
        <v>243</v>
      </c>
      <c r="B244" s="23" t="n">
        <v>-840</v>
      </c>
    </row>
    <row r="245">
      <c r="A245" s="18" t="n">
        <v>244</v>
      </c>
      <c r="B245" s="23" t="n">
        <v>-320</v>
      </c>
    </row>
    <row r="246">
      <c r="A246" s="18" t="n">
        <v>245</v>
      </c>
      <c r="B246" s="23" t="n">
        <v>-520</v>
      </c>
    </row>
    <row r="247">
      <c r="A247" s="18" t="n">
        <v>246</v>
      </c>
      <c r="B247" s="23" t="n">
        <v>-800</v>
      </c>
    </row>
    <row r="248">
      <c r="A248" s="18" t="n">
        <v>247</v>
      </c>
      <c r="B248" s="23" t="n">
        <v>-1200</v>
      </c>
    </row>
    <row r="249">
      <c r="A249" s="18" t="n">
        <v>248</v>
      </c>
      <c r="B249" s="23" t="n">
        <v>-240</v>
      </c>
    </row>
    <row r="250">
      <c r="A250" s="18" t="n">
        <v>249</v>
      </c>
      <c r="B250" s="23" t="n">
        <v>-280</v>
      </c>
    </row>
    <row r="251">
      <c r="A251" s="18" t="n">
        <v>250</v>
      </c>
      <c r="B251" s="23" t="n">
        <v>-560</v>
      </c>
    </row>
    <row r="252">
      <c r="A252" s="18" t="n">
        <v>251</v>
      </c>
      <c r="B252" s="23" t="n">
        <v>-800</v>
      </c>
    </row>
    <row r="253">
      <c r="A253" s="18" t="n">
        <v>252</v>
      </c>
      <c r="B253" s="23" t="n">
        <v>-240</v>
      </c>
    </row>
    <row r="254">
      <c r="A254" s="18" t="n">
        <v>253</v>
      </c>
      <c r="B254" s="23" t="n">
        <v>-1240</v>
      </c>
    </row>
    <row r="255">
      <c r="A255" s="18" t="n">
        <v>254</v>
      </c>
      <c r="B255" s="23" t="n">
        <v>-440</v>
      </c>
    </row>
    <row r="256">
      <c r="A256" s="18" t="n">
        <v>255</v>
      </c>
      <c r="B256" s="23" t="n">
        <v>280</v>
      </c>
    </row>
    <row r="257">
      <c r="A257" s="18" t="n">
        <v>256</v>
      </c>
      <c r="B257" s="23" t="n">
        <v>-320</v>
      </c>
    </row>
    <row r="258">
      <c r="A258" s="18" t="n">
        <v>257</v>
      </c>
      <c r="B258" s="23" t="n">
        <v>-1240</v>
      </c>
    </row>
    <row r="259">
      <c r="A259" s="18" t="n">
        <v>258</v>
      </c>
      <c r="B259" s="23" t="n">
        <v>-760</v>
      </c>
    </row>
    <row r="260">
      <c r="A260" s="18" t="n">
        <v>259</v>
      </c>
      <c r="B260" s="23" t="n">
        <v>-800</v>
      </c>
    </row>
    <row r="261">
      <c r="A261" s="18" t="n">
        <v>260</v>
      </c>
      <c r="B261" s="23" t="n">
        <v>-640</v>
      </c>
    </row>
    <row r="262">
      <c r="A262" s="18" t="n">
        <v>261</v>
      </c>
      <c r="B262" s="23" t="n">
        <v>-80</v>
      </c>
    </row>
    <row r="263">
      <c r="A263" s="18" t="n">
        <v>262</v>
      </c>
      <c r="B263" s="23" t="n">
        <v>-480</v>
      </c>
    </row>
    <row r="264">
      <c r="A264" s="18" t="n">
        <v>263</v>
      </c>
      <c r="B264" s="23" t="n">
        <v>-200</v>
      </c>
    </row>
    <row r="265">
      <c r="A265" s="18" t="n">
        <v>264</v>
      </c>
      <c r="B265" s="23" t="n">
        <v>-1280</v>
      </c>
    </row>
    <row r="266">
      <c r="A266" s="18" t="n">
        <v>265</v>
      </c>
      <c r="B266" s="23" t="n">
        <v>-1040</v>
      </c>
    </row>
    <row r="267">
      <c r="A267" s="18" t="n">
        <v>266</v>
      </c>
      <c r="B267" s="23" t="n">
        <v>80</v>
      </c>
    </row>
    <row r="268">
      <c r="A268" s="18" t="n">
        <v>267</v>
      </c>
      <c r="B268" s="23" t="n">
        <v>-920</v>
      </c>
    </row>
    <row r="269">
      <c r="A269" s="18" t="n">
        <v>268</v>
      </c>
      <c r="B269" s="23" t="n">
        <v>-120</v>
      </c>
    </row>
    <row r="270">
      <c r="A270" s="18" t="n">
        <v>269</v>
      </c>
      <c r="B270" s="23" t="n">
        <v>-360</v>
      </c>
    </row>
    <row r="271">
      <c r="A271" s="18" t="n">
        <v>270</v>
      </c>
      <c r="B271" s="23" t="n">
        <v>-160</v>
      </c>
    </row>
    <row r="272">
      <c r="A272" s="18" t="n">
        <v>271</v>
      </c>
      <c r="B272" s="23" t="n">
        <v>-320</v>
      </c>
    </row>
    <row r="273">
      <c r="A273" s="18" t="n">
        <v>272</v>
      </c>
      <c r="B273" s="23" t="n">
        <v>-1240</v>
      </c>
    </row>
    <row r="274">
      <c r="A274" s="18" t="n">
        <v>273</v>
      </c>
      <c r="B274" s="23" t="n">
        <v>-200</v>
      </c>
    </row>
    <row r="275">
      <c r="A275" s="18" t="n">
        <v>274</v>
      </c>
      <c r="B275" s="23" t="n">
        <v>-920</v>
      </c>
    </row>
    <row r="276">
      <c r="A276" s="18" t="n">
        <v>275</v>
      </c>
      <c r="B276" s="23" t="n">
        <v>-360</v>
      </c>
    </row>
    <row r="277">
      <c r="A277" s="18" t="n">
        <v>276</v>
      </c>
      <c r="B277" s="23" t="n">
        <v>-880</v>
      </c>
    </row>
    <row r="278">
      <c r="A278" s="18" t="n">
        <v>277</v>
      </c>
      <c r="B278" s="23" t="n">
        <v>-1680</v>
      </c>
    </row>
    <row r="279">
      <c r="A279" s="18" t="n">
        <v>278</v>
      </c>
      <c r="B279" s="23" t="n">
        <v>-480</v>
      </c>
    </row>
    <row r="280">
      <c r="A280" s="18" t="n">
        <v>279</v>
      </c>
      <c r="B280" s="23" t="n">
        <v>-1320</v>
      </c>
    </row>
    <row r="281">
      <c r="A281" s="18" t="n">
        <v>280</v>
      </c>
      <c r="B281" s="23" t="n">
        <v>-240</v>
      </c>
    </row>
    <row r="282">
      <c r="A282" s="18" t="n">
        <v>281</v>
      </c>
      <c r="B282" s="23" t="n">
        <v>-1040</v>
      </c>
    </row>
    <row r="283">
      <c r="A283" s="18" t="n">
        <v>282</v>
      </c>
      <c r="B283" s="23" t="n">
        <v>-880</v>
      </c>
    </row>
    <row r="284">
      <c r="A284" s="18" t="n">
        <v>283</v>
      </c>
      <c r="B284" s="23" t="n">
        <v>-1320</v>
      </c>
    </row>
    <row r="285">
      <c r="A285" s="18" t="n">
        <v>284</v>
      </c>
      <c r="B285" s="23" t="n">
        <v>-360</v>
      </c>
    </row>
    <row r="286">
      <c r="A286" s="18" t="n">
        <v>285</v>
      </c>
      <c r="B286" s="23" t="n">
        <v>-360</v>
      </c>
    </row>
    <row r="287">
      <c r="A287" s="18" t="n">
        <v>286</v>
      </c>
      <c r="B287" s="23" t="n">
        <v>-80</v>
      </c>
    </row>
    <row r="288">
      <c r="A288" s="18" t="n">
        <v>287</v>
      </c>
      <c r="B288" s="23" t="n">
        <v>-520</v>
      </c>
    </row>
    <row r="289">
      <c r="A289" s="18" t="n">
        <v>288</v>
      </c>
      <c r="B289" s="23" t="n">
        <v>-40</v>
      </c>
    </row>
    <row r="290">
      <c r="A290" s="18" t="n">
        <v>289</v>
      </c>
      <c r="B290" s="23" t="n">
        <v>-960</v>
      </c>
    </row>
    <row r="291">
      <c r="A291" s="18" t="n">
        <v>290</v>
      </c>
      <c r="B291" s="23" t="n">
        <v>-720</v>
      </c>
    </row>
    <row r="292">
      <c r="A292" s="18" t="n">
        <v>291</v>
      </c>
      <c r="B292" s="23" t="n">
        <v>-920</v>
      </c>
    </row>
    <row r="293">
      <c r="A293" s="18" t="n">
        <v>292</v>
      </c>
      <c r="B293" s="23" t="n">
        <v>-840</v>
      </c>
    </row>
    <row r="294">
      <c r="A294" s="18" t="n">
        <v>293</v>
      </c>
      <c r="B294" s="23" t="n">
        <v>-840</v>
      </c>
    </row>
    <row r="295">
      <c r="A295" s="18" t="n">
        <v>294</v>
      </c>
      <c r="B295" s="23" t="n">
        <v>-600</v>
      </c>
    </row>
    <row r="296">
      <c r="A296" s="18" t="n">
        <v>295</v>
      </c>
      <c r="B296" s="23" t="n">
        <v>-120</v>
      </c>
    </row>
    <row r="297">
      <c r="A297" s="18" t="n">
        <v>296</v>
      </c>
      <c r="B297" s="23" t="n">
        <v>-120</v>
      </c>
    </row>
    <row r="298">
      <c r="A298" s="18" t="n">
        <v>297</v>
      </c>
      <c r="B298" s="23" t="n">
        <v>-440</v>
      </c>
    </row>
    <row r="299">
      <c r="A299" s="18" t="n">
        <v>298</v>
      </c>
      <c r="B299" s="23" t="n">
        <v>-760</v>
      </c>
    </row>
    <row r="300">
      <c r="A300" s="18" t="n">
        <v>299</v>
      </c>
      <c r="B300" s="23" t="n">
        <v>-840</v>
      </c>
    </row>
    <row r="301">
      <c r="A301" s="18" t="n">
        <v>300</v>
      </c>
      <c r="B301" s="23" t="n">
        <v>-560</v>
      </c>
    </row>
    <row r="302">
      <c r="A302" s="18" t="n">
        <v>301</v>
      </c>
      <c r="B302" s="23" t="n">
        <v>-520</v>
      </c>
    </row>
    <row r="303">
      <c r="A303" s="18" t="n">
        <v>302</v>
      </c>
      <c r="B303" s="23" t="n">
        <v>-1000</v>
      </c>
    </row>
    <row r="304">
      <c r="A304" s="18" t="n">
        <v>303</v>
      </c>
      <c r="B304" s="23" t="n">
        <v>-560</v>
      </c>
    </row>
    <row r="305">
      <c r="A305" s="18" t="n">
        <v>304</v>
      </c>
      <c r="B305" s="23" t="n">
        <v>-1000</v>
      </c>
    </row>
    <row r="306">
      <c r="A306" s="18" t="n">
        <v>305</v>
      </c>
      <c r="B306" s="23" t="n">
        <v>-1120</v>
      </c>
    </row>
    <row r="307">
      <c r="A307" s="18" t="n">
        <v>306</v>
      </c>
      <c r="B307" s="23" t="n">
        <v>-680</v>
      </c>
    </row>
    <row r="308">
      <c r="A308" s="18" t="n">
        <v>307</v>
      </c>
      <c r="B308" s="23" t="n">
        <v>-1560</v>
      </c>
    </row>
    <row r="309">
      <c r="A309" s="18" t="n">
        <v>308</v>
      </c>
      <c r="B309" s="23" t="n">
        <v>-520</v>
      </c>
    </row>
    <row r="310">
      <c r="A310" s="18" t="n">
        <v>309</v>
      </c>
      <c r="B310" s="23" t="n">
        <v>-600</v>
      </c>
    </row>
    <row r="311">
      <c r="A311" s="18" t="n">
        <v>310</v>
      </c>
      <c r="B311" s="23" t="n">
        <v>-120</v>
      </c>
    </row>
    <row r="312">
      <c r="A312" s="18" t="n">
        <v>311</v>
      </c>
      <c r="B312" s="23" t="n">
        <v>40</v>
      </c>
    </row>
    <row r="313">
      <c r="A313" s="18" t="n">
        <v>312</v>
      </c>
      <c r="B313" s="23" t="n">
        <v>-320</v>
      </c>
    </row>
    <row r="314">
      <c r="A314" s="18" t="n">
        <v>313</v>
      </c>
      <c r="B314" s="23" t="n">
        <v>-800</v>
      </c>
    </row>
    <row r="315">
      <c r="A315" s="18" t="n">
        <v>314</v>
      </c>
      <c r="B315" s="23" t="n">
        <v>-760</v>
      </c>
    </row>
    <row r="316">
      <c r="A316" s="18" t="n">
        <v>315</v>
      </c>
      <c r="B316" s="23" t="n">
        <v>-1440</v>
      </c>
    </row>
    <row r="317">
      <c r="A317" s="18" t="n">
        <v>316</v>
      </c>
      <c r="B317" s="23" t="n">
        <v>-680</v>
      </c>
    </row>
    <row r="318">
      <c r="A318" s="18" t="n">
        <v>317</v>
      </c>
      <c r="B318" s="23" t="n">
        <v>-400</v>
      </c>
    </row>
    <row r="319">
      <c r="A319" s="18" t="n">
        <v>318</v>
      </c>
      <c r="B319" s="23" t="n">
        <v>280</v>
      </c>
    </row>
    <row r="320">
      <c r="A320" s="18" t="n">
        <v>319</v>
      </c>
      <c r="B320" s="23" t="n">
        <v>160</v>
      </c>
    </row>
    <row r="321">
      <c r="A321" s="18" t="n">
        <v>320</v>
      </c>
      <c r="B321" s="23" t="n">
        <v>-800</v>
      </c>
    </row>
    <row r="322">
      <c r="A322" s="18" t="n">
        <v>321</v>
      </c>
      <c r="B322" s="23" t="n">
        <v>-1560</v>
      </c>
    </row>
    <row r="323">
      <c r="A323" s="18" t="n">
        <v>322</v>
      </c>
      <c r="B323" s="23" t="n">
        <v>-680</v>
      </c>
    </row>
    <row r="324">
      <c r="A324" s="18" t="n">
        <v>323</v>
      </c>
      <c r="B324" s="23" t="n">
        <v>-560</v>
      </c>
    </row>
    <row r="325">
      <c r="A325" s="18" t="n">
        <v>324</v>
      </c>
      <c r="B325" s="23" t="n">
        <v>-640</v>
      </c>
    </row>
    <row r="326">
      <c r="A326" s="18" t="n">
        <v>325</v>
      </c>
      <c r="B326" s="23" t="n">
        <v>-1320</v>
      </c>
    </row>
    <row r="327">
      <c r="A327" s="18" t="n">
        <v>326</v>
      </c>
      <c r="B327" s="23" t="n">
        <v>-680</v>
      </c>
    </row>
    <row r="328">
      <c r="A328" s="18" t="n">
        <v>327</v>
      </c>
      <c r="B328" s="23" t="n">
        <v>-360</v>
      </c>
    </row>
    <row r="329">
      <c r="A329" s="18" t="n">
        <v>328</v>
      </c>
      <c r="B329" s="23" t="n">
        <v>-560</v>
      </c>
    </row>
    <row r="330">
      <c r="A330" s="18" t="n">
        <v>329</v>
      </c>
      <c r="B330" s="23" t="n">
        <v>-120</v>
      </c>
    </row>
    <row r="331">
      <c r="A331" s="18" t="n">
        <v>330</v>
      </c>
      <c r="B331" s="23" t="n">
        <v>-800</v>
      </c>
    </row>
    <row r="332">
      <c r="A332" s="18" t="n">
        <v>331</v>
      </c>
      <c r="B332" s="23" t="n">
        <v>-1400</v>
      </c>
    </row>
    <row r="333">
      <c r="A333" s="18" t="n">
        <v>332</v>
      </c>
      <c r="B333" s="23" t="n">
        <v>-560</v>
      </c>
    </row>
    <row r="334">
      <c r="A334" s="18" t="n">
        <v>333</v>
      </c>
      <c r="B334" s="23" t="n">
        <v>80</v>
      </c>
    </row>
    <row r="335">
      <c r="A335" s="18" t="n">
        <v>334</v>
      </c>
      <c r="B335" s="23" t="n">
        <v>80</v>
      </c>
    </row>
    <row r="336">
      <c r="A336" s="18" t="n">
        <v>335</v>
      </c>
      <c r="B336" s="23" t="n">
        <v>-960</v>
      </c>
    </row>
    <row r="337">
      <c r="A337" s="18" t="n">
        <v>336</v>
      </c>
      <c r="B337" s="23" t="n">
        <v>-1080</v>
      </c>
    </row>
    <row r="338">
      <c r="A338" s="18" t="n">
        <v>337</v>
      </c>
      <c r="B338" s="23" t="n">
        <v>-480</v>
      </c>
    </row>
    <row r="339">
      <c r="A339" s="18" t="n">
        <v>338</v>
      </c>
      <c r="B339" s="23" t="n">
        <v>-680</v>
      </c>
    </row>
    <row r="340">
      <c r="A340" s="18" t="n">
        <v>339</v>
      </c>
      <c r="B340" s="23" t="n">
        <v>-360</v>
      </c>
    </row>
    <row r="341">
      <c r="A341" s="18" t="n">
        <v>340</v>
      </c>
      <c r="B341" s="23" t="n">
        <v>-1000</v>
      </c>
    </row>
    <row r="342">
      <c r="A342" s="18" t="n">
        <v>341</v>
      </c>
      <c r="B342" s="23" t="n">
        <v>-720</v>
      </c>
    </row>
    <row r="343">
      <c r="A343" s="18" t="n">
        <v>342</v>
      </c>
      <c r="B343" s="23" t="n">
        <v>-880</v>
      </c>
    </row>
    <row r="344">
      <c r="A344" s="18" t="n">
        <v>343</v>
      </c>
      <c r="B344" s="23" t="n">
        <v>-1320</v>
      </c>
    </row>
    <row r="345">
      <c r="A345" s="18" t="n">
        <v>344</v>
      </c>
      <c r="B345" s="23" t="n">
        <v>160</v>
      </c>
    </row>
    <row r="346">
      <c r="A346" s="18" t="n">
        <v>345</v>
      </c>
      <c r="B346" s="23" t="n">
        <v>-1080</v>
      </c>
    </row>
    <row r="347">
      <c r="A347" s="18" t="n">
        <v>346</v>
      </c>
      <c r="B347" s="23" t="n">
        <v>80</v>
      </c>
    </row>
    <row r="348">
      <c r="A348" s="18" t="n">
        <v>347</v>
      </c>
      <c r="B348" s="23" t="n">
        <v>-760</v>
      </c>
    </row>
    <row r="349">
      <c r="A349" s="18" t="n">
        <v>348</v>
      </c>
      <c r="B349" s="23" t="n">
        <v>-1480</v>
      </c>
    </row>
    <row r="350">
      <c r="A350" s="18" t="n">
        <v>349</v>
      </c>
      <c r="B350" s="23" t="n">
        <v>-520</v>
      </c>
    </row>
    <row r="351">
      <c r="A351" s="18" t="n">
        <v>350</v>
      </c>
      <c r="B351" s="23" t="n">
        <v>-280</v>
      </c>
    </row>
    <row r="352">
      <c r="A352" s="18" t="n">
        <v>351</v>
      </c>
      <c r="B352" s="23" t="n">
        <v>160</v>
      </c>
    </row>
    <row r="353">
      <c r="A353" s="18" t="n">
        <v>352</v>
      </c>
      <c r="B353" s="23" t="n">
        <v>-1000</v>
      </c>
    </row>
    <row r="354">
      <c r="A354" s="18" t="n">
        <v>353</v>
      </c>
      <c r="B354" s="23" t="n">
        <v>-720</v>
      </c>
    </row>
    <row r="355">
      <c r="A355" s="18" t="n">
        <v>354</v>
      </c>
      <c r="B355" s="23" t="n">
        <v>-1120</v>
      </c>
    </row>
    <row r="356">
      <c r="A356" s="18" t="n">
        <v>355</v>
      </c>
      <c r="B356" s="23" t="n">
        <v>-920</v>
      </c>
    </row>
    <row r="357">
      <c r="A357" s="18" t="n">
        <v>356</v>
      </c>
      <c r="B357" s="23" t="n">
        <v>-120</v>
      </c>
    </row>
    <row r="358">
      <c r="A358" s="18" t="n">
        <v>357</v>
      </c>
      <c r="B358" s="23" t="n">
        <v>-160</v>
      </c>
    </row>
    <row r="359">
      <c r="A359" s="18" t="n">
        <v>358</v>
      </c>
      <c r="B359" s="23" t="n">
        <v>-1000</v>
      </c>
    </row>
    <row r="360">
      <c r="A360" s="18" t="n">
        <v>359</v>
      </c>
      <c r="B360" s="23" t="n">
        <v>-520</v>
      </c>
    </row>
    <row r="361">
      <c r="A361" s="18" t="n">
        <v>360</v>
      </c>
      <c r="B361" s="23" t="n">
        <v>-1400</v>
      </c>
    </row>
    <row r="362">
      <c r="A362" s="18" t="n">
        <v>361</v>
      </c>
      <c r="B362" s="23" t="n">
        <v>-720</v>
      </c>
    </row>
    <row r="363">
      <c r="A363" s="18" t="n">
        <v>362</v>
      </c>
      <c r="B363" s="23" t="n">
        <v>-1080</v>
      </c>
    </row>
    <row r="364">
      <c r="A364" s="18" t="n">
        <v>363</v>
      </c>
      <c r="B364" s="23" t="n">
        <v>-960</v>
      </c>
    </row>
    <row r="365">
      <c r="A365" s="18" t="n">
        <v>364</v>
      </c>
      <c r="B365" s="23" t="n">
        <v>-480</v>
      </c>
    </row>
    <row r="366">
      <c r="A366" s="18" t="n">
        <v>365</v>
      </c>
      <c r="B366" s="23" t="n">
        <v>-80</v>
      </c>
    </row>
    <row r="367">
      <c r="A367" s="18" t="n">
        <v>366</v>
      </c>
      <c r="B367" s="23" t="n">
        <v>-320</v>
      </c>
    </row>
    <row r="368">
      <c r="A368" s="18" t="n">
        <v>367</v>
      </c>
      <c r="B368" s="23" t="n">
        <v>-600</v>
      </c>
    </row>
    <row r="369">
      <c r="A369" s="18" t="n">
        <v>368</v>
      </c>
      <c r="B369" s="23" t="n">
        <v>-1200</v>
      </c>
    </row>
    <row r="370">
      <c r="A370" s="18" t="n">
        <v>369</v>
      </c>
      <c r="B370" s="23" t="n">
        <v>-480</v>
      </c>
    </row>
    <row r="371">
      <c r="A371" s="18" t="n">
        <v>370</v>
      </c>
      <c r="B371" s="23" t="n">
        <v>-760</v>
      </c>
    </row>
    <row r="372">
      <c r="A372" s="18" t="n">
        <v>371</v>
      </c>
      <c r="B372" s="23" t="n">
        <v>-600</v>
      </c>
    </row>
    <row r="373">
      <c r="A373" s="18" t="n">
        <v>372</v>
      </c>
      <c r="B373" s="23" t="n">
        <v>-840</v>
      </c>
    </row>
    <row r="374">
      <c r="A374" s="18" t="n">
        <v>373</v>
      </c>
      <c r="B374" s="23" t="n">
        <v>-360</v>
      </c>
    </row>
    <row r="375">
      <c r="A375" s="18" t="n">
        <v>374</v>
      </c>
      <c r="B375" s="23" t="n">
        <v>280</v>
      </c>
    </row>
    <row r="376">
      <c r="A376" s="18" t="n">
        <v>375</v>
      </c>
      <c r="B376" s="23" t="n">
        <v>-1320</v>
      </c>
    </row>
    <row r="377">
      <c r="A377" s="18" t="n">
        <v>376</v>
      </c>
      <c r="B377" s="23" t="n">
        <v>-560</v>
      </c>
    </row>
    <row r="378">
      <c r="A378" s="18" t="n">
        <v>377</v>
      </c>
      <c r="B378" s="23" t="n">
        <v>-880</v>
      </c>
    </row>
    <row r="379">
      <c r="A379" s="18" t="n">
        <v>378</v>
      </c>
      <c r="B379" s="23" t="n">
        <v>-320</v>
      </c>
    </row>
    <row r="380">
      <c r="A380" s="18" t="n">
        <v>379</v>
      </c>
      <c r="B380" s="23" t="n">
        <v>-40</v>
      </c>
    </row>
    <row r="381">
      <c r="A381" s="18" t="n">
        <v>380</v>
      </c>
      <c r="B381" s="23" t="n">
        <v>320</v>
      </c>
    </row>
    <row r="382">
      <c r="A382" s="18" t="n">
        <v>381</v>
      </c>
      <c r="B382" s="23" t="n">
        <v>-960</v>
      </c>
    </row>
    <row r="383">
      <c r="A383" s="18" t="n">
        <v>382</v>
      </c>
      <c r="B383" s="23" t="n">
        <v>-560</v>
      </c>
    </row>
    <row r="384">
      <c r="A384" s="18" t="n">
        <v>383</v>
      </c>
      <c r="B384" s="23" t="n">
        <v>-1000</v>
      </c>
    </row>
    <row r="385">
      <c r="A385" s="18" t="n">
        <v>384</v>
      </c>
      <c r="B385" s="23" t="n">
        <v>-360</v>
      </c>
    </row>
    <row r="386">
      <c r="A386" s="18" t="n">
        <v>385</v>
      </c>
      <c r="B386" s="23" t="n">
        <v>-880</v>
      </c>
    </row>
    <row r="387">
      <c r="A387" s="18" t="n">
        <v>386</v>
      </c>
      <c r="B387" s="23" t="n">
        <v>-800</v>
      </c>
    </row>
    <row r="388">
      <c r="A388" s="18" t="n">
        <v>387</v>
      </c>
      <c r="B388" s="23" t="n">
        <v>-840</v>
      </c>
    </row>
    <row r="389">
      <c r="A389" s="18" t="n">
        <v>388</v>
      </c>
      <c r="B389" s="23" t="n">
        <v>-600</v>
      </c>
    </row>
    <row r="390">
      <c r="A390" s="18" t="n">
        <v>389</v>
      </c>
      <c r="B390" s="23" t="n">
        <v>-520</v>
      </c>
    </row>
    <row r="391">
      <c r="A391" s="18" t="n">
        <v>390</v>
      </c>
      <c r="B391" s="23" t="n">
        <v>-600</v>
      </c>
    </row>
    <row r="392">
      <c r="A392" s="18" t="n">
        <v>391</v>
      </c>
      <c r="B392" s="23" t="n">
        <v>-1200</v>
      </c>
    </row>
    <row r="393">
      <c r="A393" s="18" t="n">
        <v>392</v>
      </c>
      <c r="B393" s="23" t="n">
        <v>-520</v>
      </c>
    </row>
    <row r="394">
      <c r="A394" s="18" t="n">
        <v>393</v>
      </c>
      <c r="B394" s="23" t="n">
        <v>40</v>
      </c>
    </row>
    <row r="395">
      <c r="A395" s="18" t="n">
        <v>394</v>
      </c>
      <c r="B395" s="23" t="n">
        <v>-1200</v>
      </c>
    </row>
    <row r="396">
      <c r="A396" s="18" t="n">
        <v>395</v>
      </c>
      <c r="B396" s="23" t="n">
        <v>-160</v>
      </c>
    </row>
    <row r="397">
      <c r="A397" s="18" t="n">
        <v>396</v>
      </c>
      <c r="B397" s="23" t="n">
        <v>-1040</v>
      </c>
    </row>
    <row r="398">
      <c r="A398" s="18" t="n">
        <v>397</v>
      </c>
      <c r="B398" s="23" t="n">
        <v>-1080</v>
      </c>
    </row>
    <row r="399">
      <c r="A399" s="18" t="n">
        <v>398</v>
      </c>
      <c r="B399" s="23" t="n">
        <v>-360</v>
      </c>
    </row>
    <row r="400">
      <c r="A400" s="18" t="n">
        <v>399</v>
      </c>
      <c r="B400" s="23" t="n">
        <v>-800</v>
      </c>
    </row>
    <row r="401">
      <c r="A401" s="18" t="n">
        <v>400</v>
      </c>
      <c r="B401" s="23" t="n">
        <v>-520</v>
      </c>
    </row>
    <row r="402">
      <c r="A402" s="18" t="n">
        <v>401</v>
      </c>
      <c r="B402" s="23" t="n">
        <v>-280</v>
      </c>
    </row>
    <row r="403">
      <c r="A403" s="18" t="n">
        <v>402</v>
      </c>
      <c r="B403" s="23" t="n">
        <v>-1000</v>
      </c>
    </row>
    <row r="404">
      <c r="A404" s="18" t="n">
        <v>403</v>
      </c>
      <c r="B404" s="23" t="n">
        <v>-280</v>
      </c>
    </row>
    <row r="405">
      <c r="A405" s="18" t="n">
        <v>404</v>
      </c>
      <c r="B405" s="23" t="n">
        <v>-1000</v>
      </c>
    </row>
    <row r="406">
      <c r="A406" s="18" t="n">
        <v>405</v>
      </c>
      <c r="B406" s="23" t="n">
        <v>-800</v>
      </c>
    </row>
    <row r="407">
      <c r="A407" s="18" t="n">
        <v>406</v>
      </c>
      <c r="B407" s="23" t="n">
        <v>-880</v>
      </c>
    </row>
    <row r="408">
      <c r="A408" s="18" t="n">
        <v>407</v>
      </c>
      <c r="B408" s="23" t="n">
        <v>-480</v>
      </c>
    </row>
    <row r="409">
      <c r="A409" s="18" t="n">
        <v>408</v>
      </c>
      <c r="B409" s="23" t="n">
        <v>-1800</v>
      </c>
    </row>
    <row r="410">
      <c r="A410" s="18" t="n">
        <v>409</v>
      </c>
      <c r="B410" s="23" t="n">
        <v>-1040</v>
      </c>
    </row>
    <row r="411">
      <c r="A411" s="18" t="n">
        <v>410</v>
      </c>
      <c r="B411" s="23" t="n">
        <v>-240</v>
      </c>
    </row>
    <row r="412">
      <c r="A412" s="18" t="n">
        <v>411</v>
      </c>
      <c r="B412" s="23" t="n">
        <v>-600</v>
      </c>
    </row>
    <row r="413">
      <c r="A413" s="18" t="n">
        <v>412</v>
      </c>
      <c r="B413" s="23" t="n">
        <v>-320</v>
      </c>
    </row>
    <row r="414">
      <c r="A414" s="18" t="n">
        <v>413</v>
      </c>
      <c r="B414" s="23" t="n">
        <v>-360</v>
      </c>
    </row>
    <row r="415">
      <c r="A415" s="18" t="n">
        <v>414</v>
      </c>
      <c r="B415" s="23" t="n">
        <v>-440</v>
      </c>
    </row>
    <row r="416">
      <c r="A416" s="18" t="n">
        <v>415</v>
      </c>
      <c r="B416" s="23" t="n">
        <v>-120</v>
      </c>
    </row>
    <row r="417">
      <c r="A417" s="18" t="n">
        <v>416</v>
      </c>
      <c r="B417" s="23" t="n">
        <v>120</v>
      </c>
    </row>
    <row r="418">
      <c r="A418" s="18" t="n">
        <v>417</v>
      </c>
      <c r="B418" s="23" t="n">
        <v>-760</v>
      </c>
    </row>
    <row r="419">
      <c r="A419" s="18" t="n">
        <v>418</v>
      </c>
      <c r="B419" s="23" t="n">
        <v>-360</v>
      </c>
    </row>
    <row r="420">
      <c r="A420" s="18" t="n">
        <v>419</v>
      </c>
      <c r="B420" s="23" t="n">
        <v>-200</v>
      </c>
    </row>
    <row r="421">
      <c r="A421" s="18" t="n">
        <v>420</v>
      </c>
      <c r="B421" s="23" t="n">
        <v>-440</v>
      </c>
    </row>
    <row r="422">
      <c r="A422" s="18" t="n">
        <v>421</v>
      </c>
      <c r="B422" s="23" t="n">
        <v>80</v>
      </c>
    </row>
    <row r="423">
      <c r="A423" s="18" t="n">
        <v>422</v>
      </c>
      <c r="B423" s="23" t="n">
        <v>-320</v>
      </c>
    </row>
    <row r="424">
      <c r="A424" s="18" t="n">
        <v>423</v>
      </c>
      <c r="B424" s="23" t="n">
        <v>-360</v>
      </c>
    </row>
    <row r="425">
      <c r="A425" s="18" t="n">
        <v>424</v>
      </c>
      <c r="B425" s="23" t="n">
        <v>-1040</v>
      </c>
    </row>
    <row r="426">
      <c r="A426" s="18" t="n">
        <v>425</v>
      </c>
      <c r="B426" s="23" t="n">
        <v>-680</v>
      </c>
    </row>
    <row r="427">
      <c r="A427" s="18" t="n">
        <v>426</v>
      </c>
      <c r="B427" s="23" t="n">
        <v>-1040</v>
      </c>
    </row>
    <row r="428">
      <c r="A428" s="18" t="n">
        <v>427</v>
      </c>
      <c r="B428" s="23" t="n">
        <v>160</v>
      </c>
    </row>
    <row r="429">
      <c r="A429" s="18" t="n">
        <v>428</v>
      </c>
      <c r="B429" s="23" t="n">
        <v>-720</v>
      </c>
    </row>
    <row r="430">
      <c r="A430" s="18" t="n">
        <v>429</v>
      </c>
      <c r="B430" s="23" t="n">
        <v>360</v>
      </c>
    </row>
    <row r="431">
      <c r="A431" s="18" t="n">
        <v>430</v>
      </c>
      <c r="B431" s="23" t="n">
        <v>-1160</v>
      </c>
    </row>
    <row r="432">
      <c r="A432" s="18" t="n">
        <v>431</v>
      </c>
      <c r="B432" s="23" t="n">
        <v>-880</v>
      </c>
    </row>
    <row r="433">
      <c r="A433" s="18" t="n">
        <v>432</v>
      </c>
      <c r="B433" s="23" t="n">
        <v>-400</v>
      </c>
    </row>
    <row r="434">
      <c r="A434" s="18" t="n">
        <v>433</v>
      </c>
      <c r="B434" s="23" t="n">
        <v>-480</v>
      </c>
    </row>
    <row r="435">
      <c r="A435" s="18" t="n">
        <v>434</v>
      </c>
      <c r="B435" s="23" t="n">
        <v>-1600</v>
      </c>
    </row>
    <row r="436">
      <c r="A436" s="18" t="n">
        <v>435</v>
      </c>
      <c r="B436" s="23" t="n">
        <v>-1480</v>
      </c>
    </row>
    <row r="437">
      <c r="A437" s="18" t="n">
        <v>436</v>
      </c>
      <c r="B437" s="23" t="n">
        <v>-1760</v>
      </c>
    </row>
    <row r="438">
      <c r="A438" s="18" t="n">
        <v>437</v>
      </c>
      <c r="B438" s="23" t="n">
        <v>-760</v>
      </c>
    </row>
    <row r="439">
      <c r="A439" s="18" t="n">
        <v>438</v>
      </c>
      <c r="B439" s="23" t="n">
        <v>-800</v>
      </c>
    </row>
    <row r="440">
      <c r="A440" s="18" t="n">
        <v>439</v>
      </c>
      <c r="B440" s="23" t="n">
        <v>-280</v>
      </c>
    </row>
    <row r="441">
      <c r="A441" s="18" t="n">
        <v>440</v>
      </c>
      <c r="B441" s="23" t="n">
        <v>-1480</v>
      </c>
    </row>
    <row r="442">
      <c r="A442" s="18" t="n">
        <v>441</v>
      </c>
      <c r="B442" s="23" t="n">
        <v>-760</v>
      </c>
    </row>
    <row r="443">
      <c r="A443" s="18" t="n">
        <v>442</v>
      </c>
      <c r="B443" s="23" t="n">
        <v>-1440</v>
      </c>
    </row>
    <row r="444">
      <c r="A444" s="18" t="n">
        <v>443</v>
      </c>
      <c r="B444" s="23" t="n">
        <v>440</v>
      </c>
    </row>
    <row r="445">
      <c r="A445" s="18" t="n">
        <v>444</v>
      </c>
      <c r="B445" s="23" t="n">
        <v>-520</v>
      </c>
    </row>
    <row r="446">
      <c r="A446" s="18" t="n">
        <v>445</v>
      </c>
      <c r="B446" s="23" t="n">
        <v>-400</v>
      </c>
    </row>
    <row r="447">
      <c r="A447" s="18" t="n">
        <v>446</v>
      </c>
      <c r="B447" s="23" t="n">
        <v>-600</v>
      </c>
    </row>
    <row r="448">
      <c r="A448" s="18" t="n">
        <v>447</v>
      </c>
      <c r="B448" s="23" t="n">
        <v>-1160</v>
      </c>
    </row>
    <row r="449">
      <c r="A449" s="18" t="n">
        <v>448</v>
      </c>
      <c r="B449" s="23" t="n">
        <v>-600</v>
      </c>
    </row>
    <row r="450">
      <c r="A450" s="18" t="n">
        <v>449</v>
      </c>
      <c r="B450" s="23" t="n">
        <v>-720</v>
      </c>
    </row>
    <row r="451">
      <c r="A451" s="18" t="n">
        <v>450</v>
      </c>
      <c r="B451" s="23" t="n">
        <v>-1040</v>
      </c>
    </row>
    <row r="452">
      <c r="A452" s="18" t="n">
        <v>451</v>
      </c>
      <c r="B452" s="23" t="n">
        <v>0</v>
      </c>
    </row>
    <row r="453">
      <c r="A453" s="18" t="n">
        <v>452</v>
      </c>
      <c r="B453" s="23" t="n">
        <v>-1320</v>
      </c>
    </row>
    <row r="454">
      <c r="A454" s="18" t="n">
        <v>453</v>
      </c>
      <c r="B454" s="23" t="n">
        <v>-1080</v>
      </c>
    </row>
    <row r="455">
      <c r="A455" s="18" t="n">
        <v>454</v>
      </c>
      <c r="B455" s="23" t="n">
        <v>-480</v>
      </c>
    </row>
    <row r="456">
      <c r="A456" s="18" t="n">
        <v>455</v>
      </c>
      <c r="B456" s="23" t="n">
        <v>-160</v>
      </c>
    </row>
    <row r="457">
      <c r="A457" s="18" t="n">
        <v>456</v>
      </c>
      <c r="B457" s="23" t="n">
        <v>-680</v>
      </c>
    </row>
    <row r="458">
      <c r="A458" s="18" t="n">
        <v>457</v>
      </c>
      <c r="B458" s="23" t="n">
        <v>-200</v>
      </c>
    </row>
    <row r="459">
      <c r="A459" s="18" t="n">
        <v>458</v>
      </c>
      <c r="B459" s="23" t="n">
        <v>120</v>
      </c>
    </row>
    <row r="460">
      <c r="A460" s="18" t="n">
        <v>459</v>
      </c>
      <c r="B460" s="23" t="n">
        <v>-160</v>
      </c>
    </row>
    <row r="461">
      <c r="A461" s="18" t="n">
        <v>460</v>
      </c>
      <c r="B461" s="23" t="n">
        <v>-1120</v>
      </c>
    </row>
    <row r="462">
      <c r="A462" s="18" t="n">
        <v>461</v>
      </c>
      <c r="B462" s="23" t="n">
        <v>-920</v>
      </c>
    </row>
    <row r="463">
      <c r="A463" s="18" t="n">
        <v>462</v>
      </c>
      <c r="B463" s="23" t="n">
        <v>-1040</v>
      </c>
    </row>
    <row r="464">
      <c r="A464" s="18" t="n">
        <v>463</v>
      </c>
      <c r="B464" s="23" t="n">
        <v>-160</v>
      </c>
    </row>
    <row r="465">
      <c r="A465" s="18" t="n">
        <v>464</v>
      </c>
      <c r="B465" s="23" t="n">
        <v>-120</v>
      </c>
    </row>
    <row r="466">
      <c r="A466" s="18" t="n">
        <v>465</v>
      </c>
      <c r="B466" s="23" t="n">
        <v>-760</v>
      </c>
    </row>
    <row r="467">
      <c r="A467" s="18" t="n">
        <v>466</v>
      </c>
      <c r="B467" s="23" t="n">
        <v>-960</v>
      </c>
    </row>
    <row r="468">
      <c r="A468" s="18" t="n">
        <v>467</v>
      </c>
      <c r="B468" s="23" t="n">
        <v>-1320</v>
      </c>
    </row>
    <row r="469">
      <c r="A469" s="18" t="n">
        <v>468</v>
      </c>
      <c r="B469" s="23" t="n">
        <v>-120</v>
      </c>
    </row>
    <row r="470">
      <c r="A470" s="18" t="n">
        <v>469</v>
      </c>
      <c r="B470" s="23" t="n">
        <v>-600</v>
      </c>
    </row>
    <row r="471">
      <c r="A471" s="18" t="n">
        <v>470</v>
      </c>
      <c r="B471" s="23" t="n">
        <v>240</v>
      </c>
    </row>
    <row r="472">
      <c r="A472" s="18" t="n">
        <v>471</v>
      </c>
      <c r="B472" s="23" t="n">
        <v>-960</v>
      </c>
    </row>
    <row r="473">
      <c r="A473" s="18" t="n">
        <v>472</v>
      </c>
      <c r="B473" s="23" t="n">
        <v>-560</v>
      </c>
    </row>
    <row r="474">
      <c r="A474" s="18" t="n">
        <v>473</v>
      </c>
      <c r="B474" s="23" t="n">
        <v>-960</v>
      </c>
    </row>
    <row r="475">
      <c r="A475" s="18" t="n">
        <v>474</v>
      </c>
      <c r="B475" s="23" t="n">
        <v>-200</v>
      </c>
    </row>
    <row r="476">
      <c r="A476" s="18" t="n">
        <v>475</v>
      </c>
      <c r="B476" s="23" t="n">
        <v>-880</v>
      </c>
    </row>
    <row r="477">
      <c r="A477" s="18" t="n">
        <v>476</v>
      </c>
      <c r="B477" s="23" t="n">
        <v>-360</v>
      </c>
    </row>
    <row r="478">
      <c r="A478" s="18" t="n">
        <v>477</v>
      </c>
      <c r="B478" s="23" t="n">
        <v>-1280</v>
      </c>
    </row>
    <row r="479">
      <c r="A479" s="18" t="n">
        <v>478</v>
      </c>
      <c r="B479" s="23" t="n">
        <v>440</v>
      </c>
    </row>
    <row r="480">
      <c r="A480" s="18" t="n">
        <v>479</v>
      </c>
      <c r="B480" s="23" t="n">
        <v>-320</v>
      </c>
    </row>
    <row r="481">
      <c r="A481" s="18" t="n">
        <v>480</v>
      </c>
      <c r="B481" s="23" t="n">
        <v>120</v>
      </c>
    </row>
    <row r="482">
      <c r="A482" s="18" t="n">
        <v>481</v>
      </c>
      <c r="B482" s="23" t="n">
        <v>-520</v>
      </c>
    </row>
    <row r="483">
      <c r="A483" s="18" t="n">
        <v>482</v>
      </c>
      <c r="B483" s="23" t="n">
        <v>-1160</v>
      </c>
    </row>
    <row r="484">
      <c r="A484" s="18" t="n">
        <v>483</v>
      </c>
      <c r="B484" s="23" t="n">
        <v>-840</v>
      </c>
    </row>
    <row r="485">
      <c r="A485" s="18" t="n">
        <v>484</v>
      </c>
      <c r="B485" s="23" t="n">
        <v>-760</v>
      </c>
    </row>
    <row r="486">
      <c r="A486" s="18" t="n">
        <v>485</v>
      </c>
      <c r="B486" s="23" t="n">
        <v>-760</v>
      </c>
    </row>
    <row r="487">
      <c r="A487" s="18" t="n">
        <v>486</v>
      </c>
      <c r="B487" s="23" t="n">
        <v>-640</v>
      </c>
    </row>
    <row r="488">
      <c r="A488" s="18" t="n">
        <v>487</v>
      </c>
      <c r="B488" s="23" t="n">
        <v>-680</v>
      </c>
    </row>
    <row r="489">
      <c r="A489" s="18" t="n">
        <v>488</v>
      </c>
      <c r="B489" s="23" t="n">
        <v>-440</v>
      </c>
    </row>
    <row r="490">
      <c r="A490" s="18" t="n">
        <v>489</v>
      </c>
      <c r="B490" s="23" t="n">
        <v>-320</v>
      </c>
    </row>
    <row r="491">
      <c r="A491" s="18" t="n">
        <v>490</v>
      </c>
      <c r="B491" s="23" t="n">
        <v>-480</v>
      </c>
    </row>
    <row r="492">
      <c r="A492" s="18" t="n">
        <v>491</v>
      </c>
      <c r="B492" s="23" t="n">
        <v>-560</v>
      </c>
    </row>
    <row r="493">
      <c r="A493" s="18" t="n">
        <v>492</v>
      </c>
      <c r="B493" s="23" t="n">
        <v>-200</v>
      </c>
    </row>
    <row r="494">
      <c r="A494" s="18" t="n">
        <v>493</v>
      </c>
      <c r="B494" s="23" t="n">
        <v>-360</v>
      </c>
    </row>
    <row r="495">
      <c r="A495" s="18" t="n">
        <v>494</v>
      </c>
      <c r="B495" s="23" t="n">
        <v>-920</v>
      </c>
    </row>
    <row r="496">
      <c r="A496" s="18" t="n">
        <v>495</v>
      </c>
      <c r="B496" s="23" t="n">
        <v>-600</v>
      </c>
    </row>
    <row r="497">
      <c r="A497" s="18" t="n">
        <v>496</v>
      </c>
      <c r="B497" s="23" t="n">
        <v>-560</v>
      </c>
    </row>
    <row r="498">
      <c r="A498" s="18" t="n">
        <v>497</v>
      </c>
      <c r="B498" s="23" t="n">
        <v>-1440</v>
      </c>
    </row>
    <row r="499">
      <c r="A499" s="18" t="n">
        <v>498</v>
      </c>
      <c r="B499" s="23" t="n">
        <v>-760</v>
      </c>
    </row>
    <row r="500">
      <c r="A500" s="18" t="n">
        <v>499</v>
      </c>
      <c r="B500" s="23" t="n">
        <v>-200</v>
      </c>
    </row>
    <row r="501">
      <c r="A501" s="18" t="n">
        <v>500</v>
      </c>
      <c r="B501" s="23" t="n">
        <v>-480</v>
      </c>
    </row>
    <row r="502">
      <c r="A502" s="18" t="n">
        <v>501</v>
      </c>
      <c r="B502" s="23" t="n">
        <v>-680</v>
      </c>
    </row>
    <row r="503">
      <c r="A503" s="18" t="n">
        <v>502</v>
      </c>
      <c r="B503" s="23" t="n">
        <v>-360</v>
      </c>
    </row>
    <row r="504">
      <c r="A504" s="18" t="n">
        <v>503</v>
      </c>
      <c r="B504" s="23" t="n">
        <v>240</v>
      </c>
    </row>
    <row r="505">
      <c r="A505" s="18" t="n">
        <v>504</v>
      </c>
      <c r="B505" s="23" t="n">
        <v>-1280</v>
      </c>
    </row>
    <row r="506">
      <c r="A506" s="18" t="n">
        <v>505</v>
      </c>
      <c r="B506" s="23" t="n">
        <v>-920</v>
      </c>
    </row>
    <row r="507">
      <c r="A507" s="18" t="n">
        <v>506</v>
      </c>
      <c r="B507" s="23" t="n">
        <v>-1040</v>
      </c>
    </row>
    <row r="508">
      <c r="A508" s="18" t="n">
        <v>507</v>
      </c>
      <c r="B508" s="23" t="n">
        <v>-920</v>
      </c>
    </row>
    <row r="509">
      <c r="A509" s="18" t="n">
        <v>508</v>
      </c>
      <c r="B509" s="23" t="n">
        <v>80</v>
      </c>
    </row>
    <row r="510">
      <c r="A510" s="18" t="n">
        <v>509</v>
      </c>
      <c r="B510" s="23" t="n">
        <v>40</v>
      </c>
    </row>
    <row r="511">
      <c r="A511" s="18" t="n">
        <v>510</v>
      </c>
      <c r="B511" s="23" t="n">
        <v>-880</v>
      </c>
    </row>
    <row r="512">
      <c r="A512" s="18" t="n">
        <v>511</v>
      </c>
      <c r="B512" s="23" t="n">
        <v>-320</v>
      </c>
    </row>
    <row r="513">
      <c r="A513" s="18" t="n">
        <v>512</v>
      </c>
      <c r="B513" s="23" t="n">
        <v>160</v>
      </c>
    </row>
    <row r="514">
      <c r="A514" s="18" t="n">
        <v>513</v>
      </c>
      <c r="B514" s="23" t="n">
        <v>-280</v>
      </c>
    </row>
    <row r="515">
      <c r="A515" s="18" t="n">
        <v>514</v>
      </c>
      <c r="B515" s="23" t="n">
        <v>-1240</v>
      </c>
    </row>
    <row r="516">
      <c r="A516" s="18" t="n">
        <v>515</v>
      </c>
      <c r="B516" s="23" t="n">
        <v>200</v>
      </c>
    </row>
    <row r="517">
      <c r="A517" s="18" t="n">
        <v>516</v>
      </c>
      <c r="B517" s="23" t="n">
        <v>-720</v>
      </c>
    </row>
    <row r="518">
      <c r="A518" s="18" t="n">
        <v>517</v>
      </c>
      <c r="B518" s="23" t="n">
        <v>-1000</v>
      </c>
    </row>
    <row r="519">
      <c r="A519" s="18" t="n">
        <v>518</v>
      </c>
      <c r="B519" s="23" t="n">
        <v>-1120</v>
      </c>
    </row>
    <row r="520">
      <c r="A520" s="18" t="n">
        <v>519</v>
      </c>
      <c r="B520" s="23" t="n">
        <v>-880</v>
      </c>
    </row>
    <row r="521">
      <c r="A521" s="18" t="n">
        <v>520</v>
      </c>
      <c r="B521" s="23" t="n">
        <v>-760</v>
      </c>
    </row>
    <row r="522">
      <c r="A522" s="18" t="n">
        <v>521</v>
      </c>
      <c r="B522" s="23" t="n">
        <v>-1160</v>
      </c>
    </row>
    <row r="523">
      <c r="A523" s="18" t="n">
        <v>522</v>
      </c>
      <c r="B523" s="23" t="n">
        <v>-480</v>
      </c>
    </row>
    <row r="524">
      <c r="A524" s="18" t="n">
        <v>523</v>
      </c>
      <c r="B524" s="23" t="n">
        <v>-400</v>
      </c>
    </row>
    <row r="525">
      <c r="A525" s="18" t="n">
        <v>524</v>
      </c>
      <c r="B525" s="23" t="n">
        <v>-760</v>
      </c>
    </row>
    <row r="526">
      <c r="A526" s="18" t="n">
        <v>525</v>
      </c>
      <c r="B526" s="23" t="n">
        <v>-600</v>
      </c>
    </row>
    <row r="527">
      <c r="A527" s="18" t="n">
        <v>526</v>
      </c>
      <c r="B527" s="23" t="n">
        <v>40</v>
      </c>
    </row>
    <row r="528">
      <c r="A528" s="18" t="n">
        <v>527</v>
      </c>
      <c r="B528" s="23" t="n">
        <v>-480</v>
      </c>
    </row>
    <row r="529">
      <c r="A529" s="18" t="n">
        <v>528</v>
      </c>
      <c r="B529" s="23" t="n">
        <v>-720</v>
      </c>
    </row>
    <row r="530">
      <c r="A530" s="18" t="n">
        <v>529</v>
      </c>
      <c r="B530" s="23" t="n">
        <v>-920</v>
      </c>
    </row>
    <row r="531">
      <c r="A531" s="18" t="n">
        <v>530</v>
      </c>
      <c r="B531" s="23" t="n">
        <v>-160</v>
      </c>
    </row>
    <row r="532">
      <c r="A532" s="18" t="n">
        <v>531</v>
      </c>
      <c r="B532" s="23" t="n">
        <v>-360</v>
      </c>
    </row>
    <row r="533">
      <c r="A533" s="18" t="n">
        <v>532</v>
      </c>
      <c r="B533" s="23" t="n">
        <v>-1160</v>
      </c>
    </row>
    <row r="534">
      <c r="A534" s="18" t="n">
        <v>533</v>
      </c>
      <c r="B534" s="23" t="n">
        <v>-1160</v>
      </c>
    </row>
    <row r="535">
      <c r="A535" s="18" t="n">
        <v>534</v>
      </c>
      <c r="B535" s="23" t="n">
        <v>-40</v>
      </c>
    </row>
    <row r="536">
      <c r="A536" s="18" t="n">
        <v>535</v>
      </c>
      <c r="B536" s="23" t="n">
        <v>-1000</v>
      </c>
    </row>
    <row r="537">
      <c r="A537" s="18" t="n">
        <v>536</v>
      </c>
      <c r="B537" s="23" t="n">
        <v>-240</v>
      </c>
    </row>
    <row r="538">
      <c r="A538" s="18" t="n">
        <v>537</v>
      </c>
      <c r="B538" s="23" t="n">
        <v>-680</v>
      </c>
    </row>
    <row r="539">
      <c r="A539" s="18" t="n">
        <v>538</v>
      </c>
      <c r="B539" s="23" t="n">
        <v>-1080</v>
      </c>
    </row>
    <row r="540">
      <c r="A540" s="18" t="n">
        <v>539</v>
      </c>
      <c r="B540" s="23" t="n">
        <v>-40</v>
      </c>
    </row>
    <row r="541">
      <c r="A541" s="18" t="n">
        <v>540</v>
      </c>
      <c r="B541" s="23" t="n">
        <v>-680</v>
      </c>
    </row>
    <row r="542">
      <c r="A542" s="18" t="n">
        <v>541</v>
      </c>
      <c r="B542" s="23" t="n">
        <v>-840</v>
      </c>
    </row>
    <row r="543">
      <c r="A543" s="18" t="n">
        <v>542</v>
      </c>
      <c r="B543" s="23" t="n">
        <v>-600</v>
      </c>
    </row>
    <row r="544">
      <c r="A544" s="18" t="n">
        <v>543</v>
      </c>
      <c r="B544" s="23" t="n">
        <v>-440</v>
      </c>
    </row>
    <row r="545">
      <c r="A545" s="18" t="n">
        <v>544</v>
      </c>
      <c r="B545" s="23" t="n">
        <v>-480</v>
      </c>
    </row>
    <row r="546">
      <c r="A546" s="18" t="n">
        <v>545</v>
      </c>
      <c r="B546" s="23" t="n">
        <v>-1200</v>
      </c>
    </row>
    <row r="547">
      <c r="A547" s="18" t="n">
        <v>546</v>
      </c>
      <c r="B547" s="23" t="n">
        <v>80</v>
      </c>
    </row>
    <row r="548">
      <c r="A548" s="18" t="n">
        <v>547</v>
      </c>
      <c r="B548" s="23" t="n">
        <v>-1000</v>
      </c>
    </row>
    <row r="549">
      <c r="A549" s="18" t="n">
        <v>548</v>
      </c>
      <c r="B549" s="23" t="n">
        <v>-840</v>
      </c>
    </row>
    <row r="550">
      <c r="A550" s="18" t="n">
        <v>549</v>
      </c>
      <c r="B550" s="23" t="n">
        <v>-640</v>
      </c>
    </row>
    <row r="551">
      <c r="A551" s="18" t="n">
        <v>550</v>
      </c>
      <c r="B551" s="23" t="n">
        <v>-960</v>
      </c>
    </row>
    <row r="552">
      <c r="A552" s="18" t="n">
        <v>551</v>
      </c>
      <c r="B552" s="23" t="n">
        <v>-400</v>
      </c>
    </row>
    <row r="553">
      <c r="A553" s="18" t="n">
        <v>552</v>
      </c>
      <c r="B553" s="23" t="n">
        <v>-480</v>
      </c>
    </row>
    <row r="554">
      <c r="A554" s="18" t="n">
        <v>553</v>
      </c>
      <c r="B554" s="23" t="n">
        <v>-520</v>
      </c>
    </row>
    <row r="555">
      <c r="A555" s="18" t="n">
        <v>554</v>
      </c>
      <c r="B555" s="23" t="n">
        <v>80</v>
      </c>
    </row>
    <row r="556">
      <c r="A556" s="18" t="n">
        <v>555</v>
      </c>
      <c r="B556" s="23" t="n">
        <v>-480</v>
      </c>
    </row>
    <row r="557">
      <c r="A557" s="18" t="n">
        <v>556</v>
      </c>
      <c r="B557" s="23" t="n">
        <v>-680</v>
      </c>
    </row>
    <row r="558">
      <c r="A558" s="18" t="n">
        <v>557</v>
      </c>
      <c r="B558" s="23" t="n">
        <v>-800</v>
      </c>
    </row>
    <row r="559">
      <c r="A559" s="18" t="n">
        <v>558</v>
      </c>
      <c r="B559" s="23" t="n">
        <v>-240</v>
      </c>
    </row>
    <row r="560">
      <c r="A560" s="18" t="n">
        <v>559</v>
      </c>
      <c r="B560" s="23" t="n">
        <v>-480</v>
      </c>
    </row>
    <row r="561">
      <c r="A561" s="18" t="n">
        <v>560</v>
      </c>
      <c r="B561" s="23" t="n">
        <v>-1480</v>
      </c>
    </row>
    <row r="562">
      <c r="A562" s="18" t="n">
        <v>561</v>
      </c>
      <c r="B562" s="23" t="n">
        <v>120</v>
      </c>
    </row>
    <row r="563">
      <c r="A563" s="18" t="n">
        <v>562</v>
      </c>
      <c r="B563" s="23" t="n">
        <v>-1280</v>
      </c>
    </row>
    <row r="564">
      <c r="A564" s="18" t="n">
        <v>563</v>
      </c>
      <c r="B564" s="23" t="n">
        <v>-880</v>
      </c>
    </row>
    <row r="565">
      <c r="A565" s="18" t="n">
        <v>564</v>
      </c>
      <c r="B565" s="23" t="n">
        <v>-1240</v>
      </c>
    </row>
    <row r="566">
      <c r="A566" s="18" t="n">
        <v>565</v>
      </c>
      <c r="B566" s="23" t="n">
        <v>-1320</v>
      </c>
    </row>
    <row r="567">
      <c r="A567" s="18" t="n">
        <v>566</v>
      </c>
      <c r="B567" s="23" t="n">
        <v>-600</v>
      </c>
    </row>
    <row r="568">
      <c r="A568" s="18" t="n">
        <v>567</v>
      </c>
      <c r="B568" s="23" t="n">
        <v>-960</v>
      </c>
    </row>
    <row r="569">
      <c r="A569" s="18" t="n">
        <v>568</v>
      </c>
      <c r="B569" s="23" t="n">
        <v>-760</v>
      </c>
    </row>
    <row r="570">
      <c r="A570" s="18" t="n">
        <v>569</v>
      </c>
      <c r="B570" s="23" t="n">
        <v>-520</v>
      </c>
    </row>
    <row r="571">
      <c r="A571" s="18" t="n">
        <v>570</v>
      </c>
      <c r="B571" s="23" t="n">
        <v>-1040</v>
      </c>
    </row>
    <row r="572">
      <c r="A572" s="18" t="n">
        <v>571</v>
      </c>
      <c r="B572" s="23" t="n">
        <v>-160</v>
      </c>
    </row>
    <row r="573">
      <c r="A573" s="18" t="n">
        <v>572</v>
      </c>
      <c r="B573" s="23" t="n">
        <v>-920</v>
      </c>
    </row>
    <row r="574">
      <c r="A574" s="18" t="n">
        <v>573</v>
      </c>
      <c r="B574" s="23" t="n">
        <v>-840</v>
      </c>
    </row>
    <row r="575">
      <c r="A575" s="18" t="n">
        <v>574</v>
      </c>
      <c r="B575" s="23" t="n">
        <v>-680</v>
      </c>
    </row>
    <row r="576">
      <c r="A576" s="18" t="n">
        <v>575</v>
      </c>
      <c r="B576" s="23" t="n">
        <v>-240</v>
      </c>
    </row>
    <row r="577">
      <c r="A577" s="18" t="n">
        <v>576</v>
      </c>
      <c r="B577" s="23" t="n">
        <v>-720</v>
      </c>
    </row>
    <row r="578">
      <c r="A578" s="18" t="n">
        <v>577</v>
      </c>
      <c r="B578" s="23" t="n">
        <v>-880</v>
      </c>
    </row>
    <row r="579">
      <c r="A579" s="18" t="n">
        <v>578</v>
      </c>
      <c r="B579" s="23" t="n">
        <v>-800</v>
      </c>
    </row>
    <row r="580">
      <c r="A580" s="18" t="n">
        <v>579</v>
      </c>
      <c r="B580" s="23" t="n">
        <v>-1120</v>
      </c>
    </row>
    <row r="581">
      <c r="A581" s="18" t="n">
        <v>580</v>
      </c>
      <c r="B581" s="23" t="n">
        <v>-360</v>
      </c>
    </row>
    <row r="582">
      <c r="A582" s="18" t="n">
        <v>581</v>
      </c>
      <c r="B582" s="23" t="n">
        <v>-160</v>
      </c>
    </row>
    <row r="583">
      <c r="A583" s="18" t="n">
        <v>582</v>
      </c>
      <c r="B583" s="23" t="n">
        <v>-1720</v>
      </c>
    </row>
    <row r="584">
      <c r="A584" s="18" t="n">
        <v>583</v>
      </c>
      <c r="B584" s="23" t="n">
        <v>-200</v>
      </c>
    </row>
    <row r="585">
      <c r="A585" s="18" t="n">
        <v>584</v>
      </c>
      <c r="B585" s="23" t="n">
        <v>-440</v>
      </c>
    </row>
    <row r="586">
      <c r="A586" s="18" t="n">
        <v>585</v>
      </c>
      <c r="B586" s="23" t="n">
        <v>-400</v>
      </c>
    </row>
    <row r="587">
      <c r="A587" s="18" t="n">
        <v>586</v>
      </c>
      <c r="B587" s="23" t="n">
        <v>-680</v>
      </c>
    </row>
    <row r="588">
      <c r="A588" s="18" t="n">
        <v>587</v>
      </c>
      <c r="B588" s="23" t="n">
        <v>-520</v>
      </c>
    </row>
    <row r="589">
      <c r="A589" s="18" t="n">
        <v>588</v>
      </c>
      <c r="B589" s="23" t="n">
        <v>-1480</v>
      </c>
    </row>
    <row r="590">
      <c r="A590" s="18" t="n">
        <v>589</v>
      </c>
      <c r="B590" s="23" t="n">
        <v>-1160</v>
      </c>
    </row>
    <row r="591">
      <c r="A591" s="18" t="n">
        <v>590</v>
      </c>
      <c r="B591" s="23" t="n">
        <v>-640</v>
      </c>
    </row>
    <row r="592">
      <c r="A592" s="18" t="n">
        <v>591</v>
      </c>
      <c r="B592" s="23" t="n">
        <v>-200</v>
      </c>
    </row>
    <row r="593">
      <c r="A593" s="18" t="n">
        <v>592</v>
      </c>
      <c r="B593" s="23" t="n">
        <v>-680</v>
      </c>
    </row>
    <row r="594">
      <c r="A594" s="18" t="n">
        <v>593</v>
      </c>
      <c r="B594" s="23" t="n">
        <v>-1040</v>
      </c>
    </row>
    <row r="595">
      <c r="A595" s="18" t="n">
        <v>594</v>
      </c>
      <c r="B595" s="23" t="n">
        <v>-640</v>
      </c>
    </row>
    <row r="596">
      <c r="A596" s="18" t="n">
        <v>595</v>
      </c>
      <c r="B596" s="23" t="n">
        <v>-840</v>
      </c>
    </row>
    <row r="597">
      <c r="A597" s="18" t="n">
        <v>596</v>
      </c>
      <c r="B597" s="23" t="n">
        <v>-440</v>
      </c>
    </row>
    <row r="598">
      <c r="A598" s="18" t="n">
        <v>597</v>
      </c>
      <c r="B598" s="23" t="n">
        <v>-120</v>
      </c>
    </row>
    <row r="599">
      <c r="A599" s="18" t="n">
        <v>598</v>
      </c>
      <c r="B599" s="23" t="n">
        <v>-600</v>
      </c>
    </row>
    <row r="600">
      <c r="A600" s="18" t="n">
        <v>599</v>
      </c>
      <c r="B600" s="23" t="n">
        <v>-400</v>
      </c>
    </row>
    <row r="601">
      <c r="A601" s="18" t="n">
        <v>600</v>
      </c>
      <c r="B601" s="23" t="n">
        <v>-520</v>
      </c>
    </row>
    <row r="602">
      <c r="A602" s="18" t="n">
        <v>601</v>
      </c>
      <c r="B602" s="23" t="n">
        <v>-600</v>
      </c>
    </row>
    <row r="603">
      <c r="A603" s="18" t="n">
        <v>602</v>
      </c>
      <c r="B603" s="23" t="n">
        <v>-120</v>
      </c>
    </row>
    <row r="604">
      <c r="A604" s="18" t="n">
        <v>603</v>
      </c>
      <c r="B604" s="23" t="n">
        <v>-1360</v>
      </c>
    </row>
    <row r="605">
      <c r="A605" s="18" t="n">
        <v>604</v>
      </c>
      <c r="B605" s="23" t="n">
        <v>-1000</v>
      </c>
    </row>
    <row r="606">
      <c r="A606" s="18" t="n">
        <v>605</v>
      </c>
      <c r="B606" s="23" t="n">
        <v>-400</v>
      </c>
    </row>
    <row r="607">
      <c r="A607" s="18" t="n">
        <v>606</v>
      </c>
      <c r="B607" s="23" t="n">
        <v>-720</v>
      </c>
    </row>
    <row r="608">
      <c r="A608" s="18" t="n">
        <v>607</v>
      </c>
      <c r="B608" s="23" t="n">
        <v>-520</v>
      </c>
    </row>
    <row r="609">
      <c r="A609" s="18" t="n">
        <v>608</v>
      </c>
      <c r="B609" s="23" t="n">
        <v>-800</v>
      </c>
    </row>
    <row r="610">
      <c r="A610" s="18" t="n">
        <v>609</v>
      </c>
      <c r="B610" s="23" t="n">
        <v>-1040</v>
      </c>
    </row>
    <row r="611">
      <c r="A611" s="18" t="n">
        <v>610</v>
      </c>
      <c r="B611" s="23" t="n">
        <v>-800</v>
      </c>
    </row>
    <row r="612">
      <c r="A612" s="18" t="n">
        <v>611</v>
      </c>
      <c r="B612" s="23" t="n">
        <v>-920</v>
      </c>
    </row>
    <row r="613">
      <c r="A613" s="18" t="n">
        <v>612</v>
      </c>
      <c r="B613" s="23" t="n">
        <v>-880</v>
      </c>
    </row>
    <row r="614">
      <c r="A614" s="18" t="n">
        <v>613</v>
      </c>
      <c r="B614" s="23" t="n">
        <v>-920</v>
      </c>
    </row>
    <row r="615">
      <c r="A615" s="18" t="n">
        <v>614</v>
      </c>
      <c r="B615" s="23" t="n">
        <v>-480</v>
      </c>
    </row>
    <row r="616">
      <c r="A616" s="18" t="n">
        <v>615</v>
      </c>
      <c r="B616" s="23" t="n">
        <v>-480</v>
      </c>
    </row>
    <row r="617">
      <c r="A617" s="18" t="n">
        <v>616</v>
      </c>
      <c r="B617" s="23" t="n">
        <v>-440</v>
      </c>
    </row>
    <row r="618">
      <c r="A618" s="18" t="n">
        <v>617</v>
      </c>
      <c r="B618" s="23" t="n">
        <v>-1040</v>
      </c>
    </row>
    <row r="619">
      <c r="A619" s="18" t="n">
        <v>618</v>
      </c>
      <c r="B619" s="23" t="n">
        <v>-520</v>
      </c>
    </row>
    <row r="620">
      <c r="A620" s="18" t="n">
        <v>619</v>
      </c>
      <c r="B620" s="23" t="n">
        <v>-1400</v>
      </c>
    </row>
    <row r="621">
      <c r="A621" s="18" t="n">
        <v>620</v>
      </c>
      <c r="B621" s="23" t="n">
        <v>-560</v>
      </c>
    </row>
    <row r="622">
      <c r="A622" s="18" t="n">
        <v>621</v>
      </c>
      <c r="B622" s="23" t="n">
        <v>-400</v>
      </c>
    </row>
    <row r="623">
      <c r="A623" s="18" t="n">
        <v>622</v>
      </c>
      <c r="B623" s="23" t="n">
        <v>-480</v>
      </c>
    </row>
    <row r="624">
      <c r="A624" s="18" t="n">
        <v>623</v>
      </c>
      <c r="B624" s="23" t="n">
        <v>-400</v>
      </c>
    </row>
    <row r="625">
      <c r="A625" s="18" t="n">
        <v>624</v>
      </c>
      <c r="B625" s="23" t="n">
        <v>-960</v>
      </c>
    </row>
    <row r="626">
      <c r="A626" s="18" t="n">
        <v>625</v>
      </c>
      <c r="B626" s="23" t="n">
        <v>-600</v>
      </c>
    </row>
    <row r="627">
      <c r="A627" s="18" t="n">
        <v>626</v>
      </c>
      <c r="B627" s="23" t="n">
        <v>-480</v>
      </c>
    </row>
    <row r="628">
      <c r="A628" s="18" t="n">
        <v>627</v>
      </c>
      <c r="B628" s="23" t="n">
        <v>-680</v>
      </c>
    </row>
    <row r="629">
      <c r="A629" s="18" t="n">
        <v>628</v>
      </c>
      <c r="B629" s="23" t="n">
        <v>-720</v>
      </c>
    </row>
    <row r="630">
      <c r="A630" s="18" t="n">
        <v>629</v>
      </c>
      <c r="B630" s="23" t="n">
        <v>-400</v>
      </c>
    </row>
    <row r="631">
      <c r="A631" s="18" t="n">
        <v>630</v>
      </c>
      <c r="B631" s="23" t="n">
        <v>-800</v>
      </c>
    </row>
    <row r="632">
      <c r="A632" s="18" t="n">
        <v>631</v>
      </c>
      <c r="B632" s="23" t="n">
        <v>-560</v>
      </c>
    </row>
    <row r="633">
      <c r="A633" s="18" t="n">
        <v>632</v>
      </c>
      <c r="B633" s="23" t="n">
        <v>-1400</v>
      </c>
    </row>
    <row r="634">
      <c r="A634" s="18" t="n">
        <v>633</v>
      </c>
      <c r="B634" s="23" t="n">
        <v>-720</v>
      </c>
    </row>
    <row r="635">
      <c r="A635" s="18" t="n">
        <v>634</v>
      </c>
      <c r="B635" s="23" t="n">
        <v>-840</v>
      </c>
    </row>
    <row r="636">
      <c r="A636" s="18" t="n">
        <v>635</v>
      </c>
      <c r="B636" s="23" t="n">
        <v>-160</v>
      </c>
    </row>
    <row r="637">
      <c r="A637" s="18" t="n">
        <v>636</v>
      </c>
      <c r="B637" s="23" t="n">
        <v>-880</v>
      </c>
    </row>
    <row r="638">
      <c r="A638" s="18" t="n">
        <v>637</v>
      </c>
      <c r="B638" s="23" t="n">
        <v>-720</v>
      </c>
    </row>
    <row r="639">
      <c r="A639" s="18" t="n">
        <v>638</v>
      </c>
      <c r="B639" s="23" t="n">
        <v>-480</v>
      </c>
    </row>
    <row r="640">
      <c r="A640" s="18" t="n">
        <v>639</v>
      </c>
      <c r="B640" s="23" t="n">
        <v>480</v>
      </c>
    </row>
    <row r="641">
      <c r="A641" s="18" t="n">
        <v>640</v>
      </c>
      <c r="B641" s="23" t="n">
        <v>-80</v>
      </c>
    </row>
    <row r="642">
      <c r="A642" s="18" t="n">
        <v>641</v>
      </c>
      <c r="B642" s="23" t="n">
        <v>-1480</v>
      </c>
    </row>
    <row r="643">
      <c r="A643" s="18" t="n">
        <v>642</v>
      </c>
      <c r="B643" s="23" t="n">
        <v>200</v>
      </c>
    </row>
    <row r="644">
      <c r="A644" s="18" t="n">
        <v>643</v>
      </c>
      <c r="B644" s="23" t="n">
        <v>120</v>
      </c>
    </row>
    <row r="645">
      <c r="A645" s="18" t="n">
        <v>644</v>
      </c>
      <c r="B645" s="23" t="n">
        <v>360</v>
      </c>
    </row>
    <row r="646">
      <c r="A646" s="18" t="n">
        <v>645</v>
      </c>
      <c r="B646" s="23" t="n">
        <v>-200</v>
      </c>
    </row>
    <row r="647">
      <c r="A647" s="18" t="n">
        <v>646</v>
      </c>
      <c r="B647" s="23" t="n">
        <v>-80</v>
      </c>
    </row>
    <row r="648">
      <c r="A648" s="18" t="n">
        <v>647</v>
      </c>
      <c r="B648" s="23" t="n">
        <v>-800</v>
      </c>
    </row>
    <row r="649">
      <c r="A649" s="18" t="n">
        <v>648</v>
      </c>
      <c r="B649" s="23" t="n">
        <v>-240</v>
      </c>
    </row>
    <row r="650">
      <c r="A650" s="18" t="n">
        <v>649</v>
      </c>
      <c r="B650" s="23" t="n">
        <v>-1080</v>
      </c>
    </row>
    <row r="651">
      <c r="A651" s="18" t="n">
        <v>650</v>
      </c>
      <c r="B651" s="23" t="n">
        <v>-640</v>
      </c>
    </row>
    <row r="652">
      <c r="A652" s="18" t="n">
        <v>651</v>
      </c>
      <c r="B652" s="23" t="n">
        <v>-40</v>
      </c>
    </row>
    <row r="653">
      <c r="A653" s="18" t="n">
        <v>652</v>
      </c>
      <c r="B653" s="23" t="n">
        <v>-1480</v>
      </c>
    </row>
    <row r="654">
      <c r="A654" s="18" t="n">
        <v>653</v>
      </c>
      <c r="B654" s="23" t="n">
        <v>0</v>
      </c>
    </row>
    <row r="655">
      <c r="A655" s="18" t="n">
        <v>654</v>
      </c>
      <c r="B655" s="23" t="n">
        <v>-480</v>
      </c>
    </row>
    <row r="656">
      <c r="A656" s="18" t="n">
        <v>655</v>
      </c>
      <c r="B656" s="23" t="n">
        <v>-200</v>
      </c>
    </row>
    <row r="657">
      <c r="A657" s="18" t="n">
        <v>656</v>
      </c>
      <c r="B657" s="23" t="n">
        <v>-640</v>
      </c>
    </row>
    <row r="658">
      <c r="A658" s="18" t="n">
        <v>657</v>
      </c>
      <c r="B658" s="23" t="n">
        <v>120</v>
      </c>
    </row>
    <row r="659">
      <c r="A659" s="18" t="n">
        <v>658</v>
      </c>
      <c r="B659" s="23" t="n">
        <v>40</v>
      </c>
    </row>
    <row r="660">
      <c r="A660" s="18" t="n">
        <v>659</v>
      </c>
      <c r="B660" s="23" t="n">
        <v>-720</v>
      </c>
    </row>
    <row r="661">
      <c r="A661" s="18" t="n">
        <v>660</v>
      </c>
      <c r="B661" s="23" t="n">
        <v>-280</v>
      </c>
    </row>
    <row r="662">
      <c r="A662" s="18" t="n">
        <v>661</v>
      </c>
      <c r="B662" s="23" t="n">
        <v>-240</v>
      </c>
    </row>
    <row r="663">
      <c r="A663" s="18" t="n">
        <v>662</v>
      </c>
      <c r="B663" s="23" t="n">
        <v>-920</v>
      </c>
    </row>
    <row r="664">
      <c r="A664" s="18" t="n">
        <v>663</v>
      </c>
      <c r="B664" s="23" t="n">
        <v>-800</v>
      </c>
    </row>
    <row r="665">
      <c r="A665" s="18" t="n">
        <v>664</v>
      </c>
      <c r="B665" s="23" t="n">
        <v>-640</v>
      </c>
    </row>
    <row r="666">
      <c r="A666" s="18" t="n">
        <v>665</v>
      </c>
      <c r="B666" s="23" t="n">
        <v>-360</v>
      </c>
    </row>
    <row r="667">
      <c r="A667" s="18" t="n">
        <v>666</v>
      </c>
      <c r="B667" s="23" t="n">
        <v>-760</v>
      </c>
    </row>
    <row r="668">
      <c r="A668" s="18" t="n">
        <v>667</v>
      </c>
      <c r="B668" s="23" t="n">
        <v>-600</v>
      </c>
    </row>
    <row r="669">
      <c r="A669" s="18" t="n">
        <v>668</v>
      </c>
      <c r="B669" s="23" t="n">
        <v>-1160</v>
      </c>
    </row>
    <row r="670">
      <c r="A670" s="18" t="n">
        <v>669</v>
      </c>
      <c r="B670" s="23" t="n">
        <v>-800</v>
      </c>
    </row>
    <row r="671">
      <c r="A671" s="18" t="n">
        <v>670</v>
      </c>
      <c r="B671" s="23" t="n">
        <v>-280</v>
      </c>
    </row>
    <row r="672">
      <c r="A672" s="18" t="n">
        <v>671</v>
      </c>
      <c r="B672" s="23" t="n">
        <v>-760</v>
      </c>
    </row>
    <row r="673">
      <c r="A673" s="18" t="n">
        <v>672</v>
      </c>
      <c r="B673" s="23" t="n">
        <v>-120</v>
      </c>
    </row>
    <row r="674">
      <c r="A674" s="18" t="n">
        <v>673</v>
      </c>
      <c r="B674" s="23" t="n">
        <v>-480</v>
      </c>
    </row>
    <row r="675">
      <c r="A675" s="18" t="n">
        <v>674</v>
      </c>
      <c r="B675" s="23" t="n">
        <v>-440</v>
      </c>
    </row>
    <row r="676">
      <c r="A676" s="18" t="n">
        <v>675</v>
      </c>
      <c r="B676" s="23" t="n">
        <v>-600</v>
      </c>
    </row>
    <row r="677">
      <c r="A677" s="18" t="n">
        <v>676</v>
      </c>
      <c r="B677" s="23" t="n">
        <v>-1160</v>
      </c>
    </row>
    <row r="678">
      <c r="A678" s="18" t="n">
        <v>677</v>
      </c>
      <c r="B678" s="23" t="n">
        <v>-640</v>
      </c>
    </row>
    <row r="679">
      <c r="A679" s="18" t="n">
        <v>678</v>
      </c>
      <c r="B679" s="23" t="n">
        <v>-680</v>
      </c>
    </row>
    <row r="680">
      <c r="A680" s="18" t="n">
        <v>679</v>
      </c>
      <c r="B680" s="23" t="n">
        <v>-640</v>
      </c>
    </row>
    <row r="681">
      <c r="A681" s="18" t="n">
        <v>680</v>
      </c>
      <c r="B681" s="23" t="n">
        <v>-120</v>
      </c>
    </row>
    <row r="682">
      <c r="A682" s="18" t="n">
        <v>681</v>
      </c>
      <c r="B682" s="23" t="n">
        <v>-1160</v>
      </c>
    </row>
    <row r="683">
      <c r="A683" s="18" t="n">
        <v>682</v>
      </c>
      <c r="B683" s="23" t="n">
        <v>-1000</v>
      </c>
    </row>
    <row r="684">
      <c r="A684" s="18" t="n">
        <v>683</v>
      </c>
      <c r="B684" s="23" t="n">
        <v>-760</v>
      </c>
    </row>
    <row r="685">
      <c r="A685" s="18" t="n">
        <v>684</v>
      </c>
      <c r="B685" s="23" t="n">
        <v>-800</v>
      </c>
    </row>
    <row r="686">
      <c r="A686" s="18" t="n">
        <v>685</v>
      </c>
      <c r="B686" s="23" t="n">
        <v>0</v>
      </c>
    </row>
    <row r="687">
      <c r="A687" s="18" t="n">
        <v>686</v>
      </c>
      <c r="B687" s="23" t="n">
        <v>-800</v>
      </c>
    </row>
    <row r="688">
      <c r="A688" s="18" t="n">
        <v>687</v>
      </c>
      <c r="B688" s="23" t="n">
        <v>-920</v>
      </c>
    </row>
    <row r="689">
      <c r="A689" s="18" t="n">
        <v>688</v>
      </c>
      <c r="B689" s="23" t="n">
        <v>-480</v>
      </c>
    </row>
    <row r="690">
      <c r="A690" s="18" t="n">
        <v>689</v>
      </c>
      <c r="B690" s="23" t="n">
        <v>-120</v>
      </c>
    </row>
    <row r="691">
      <c r="A691" s="18" t="n">
        <v>690</v>
      </c>
      <c r="B691" s="23" t="n">
        <v>-1160</v>
      </c>
    </row>
    <row r="692">
      <c r="A692" s="18" t="n">
        <v>691</v>
      </c>
      <c r="B692" s="23" t="n">
        <v>-1200</v>
      </c>
    </row>
    <row r="693">
      <c r="A693" s="18" t="n">
        <v>692</v>
      </c>
      <c r="B693" s="23" t="n">
        <v>-520</v>
      </c>
    </row>
    <row r="694">
      <c r="A694" s="18" t="n">
        <v>693</v>
      </c>
      <c r="B694" s="23" t="n">
        <v>-440</v>
      </c>
    </row>
    <row r="695">
      <c r="A695" s="18" t="n">
        <v>694</v>
      </c>
      <c r="B695" s="23" t="n">
        <v>-1360</v>
      </c>
    </row>
    <row r="696">
      <c r="A696" s="18" t="n">
        <v>695</v>
      </c>
      <c r="B696" s="23" t="n">
        <v>-1040</v>
      </c>
    </row>
    <row r="697">
      <c r="A697" s="18" t="n">
        <v>696</v>
      </c>
      <c r="B697" s="23" t="n">
        <v>-920</v>
      </c>
    </row>
    <row r="698">
      <c r="A698" s="18" t="n">
        <v>697</v>
      </c>
      <c r="B698" s="23" t="n">
        <v>-1160</v>
      </c>
    </row>
    <row r="699">
      <c r="A699" s="18" t="n">
        <v>698</v>
      </c>
      <c r="B699" s="23" t="n">
        <v>-240</v>
      </c>
    </row>
    <row r="700">
      <c r="A700" s="18" t="n">
        <v>699</v>
      </c>
      <c r="B700" s="23" t="n">
        <v>-680</v>
      </c>
    </row>
    <row r="701">
      <c r="A701" s="18" t="n">
        <v>700</v>
      </c>
      <c r="B701" s="23" t="n">
        <v>-600</v>
      </c>
    </row>
    <row r="702">
      <c r="A702" s="18" t="n">
        <v>701</v>
      </c>
      <c r="B702" s="23" t="n">
        <v>-920</v>
      </c>
    </row>
    <row r="703">
      <c r="A703" s="18" t="n">
        <v>702</v>
      </c>
      <c r="B703" s="23" t="n">
        <v>-960</v>
      </c>
    </row>
    <row r="704">
      <c r="A704" s="18" t="n">
        <v>703</v>
      </c>
      <c r="B704" s="23" t="n">
        <v>-80</v>
      </c>
    </row>
    <row r="705">
      <c r="A705" s="18" t="n">
        <v>704</v>
      </c>
      <c r="B705" s="23" t="n">
        <v>-1160</v>
      </c>
    </row>
    <row r="706">
      <c r="A706" s="18" t="n">
        <v>705</v>
      </c>
      <c r="B706" s="23" t="n">
        <v>-560</v>
      </c>
    </row>
    <row r="707">
      <c r="A707" s="18" t="n">
        <v>706</v>
      </c>
      <c r="B707" s="23" t="n">
        <v>-720</v>
      </c>
    </row>
    <row r="708">
      <c r="A708" s="18" t="n">
        <v>707</v>
      </c>
      <c r="B708" s="23" t="n">
        <v>-1040</v>
      </c>
    </row>
    <row r="709">
      <c r="A709" s="18" t="n">
        <v>708</v>
      </c>
      <c r="B709" s="23" t="n">
        <v>-200</v>
      </c>
    </row>
    <row r="710">
      <c r="A710" s="18" t="n">
        <v>709</v>
      </c>
      <c r="B710" s="23" t="n">
        <v>-360</v>
      </c>
    </row>
    <row r="711">
      <c r="A711" s="18" t="n">
        <v>710</v>
      </c>
      <c r="B711" s="23" t="n">
        <v>-880</v>
      </c>
    </row>
    <row r="712">
      <c r="A712" s="18" t="n">
        <v>711</v>
      </c>
      <c r="B712" s="23" t="n">
        <v>-640</v>
      </c>
    </row>
    <row r="713">
      <c r="A713" s="18" t="n">
        <v>712</v>
      </c>
      <c r="B713" s="23" t="n">
        <v>-440</v>
      </c>
    </row>
    <row r="714">
      <c r="A714" s="18" t="n">
        <v>713</v>
      </c>
      <c r="B714" s="23" t="n">
        <v>-880</v>
      </c>
    </row>
    <row r="715">
      <c r="A715" s="18" t="n">
        <v>714</v>
      </c>
      <c r="B715" s="23" t="n">
        <v>-1080</v>
      </c>
    </row>
    <row r="716">
      <c r="A716" s="18" t="n">
        <v>715</v>
      </c>
      <c r="B716" s="23" t="n">
        <v>-1560</v>
      </c>
    </row>
    <row r="717">
      <c r="A717" s="18" t="n">
        <v>716</v>
      </c>
      <c r="B717" s="23" t="n">
        <v>-1600</v>
      </c>
    </row>
    <row r="718">
      <c r="A718" s="18" t="n">
        <v>717</v>
      </c>
      <c r="B718" s="23" t="n">
        <v>-1400</v>
      </c>
    </row>
    <row r="719">
      <c r="A719" s="18" t="n">
        <v>718</v>
      </c>
      <c r="B719" s="23" t="n">
        <v>-960</v>
      </c>
    </row>
    <row r="720">
      <c r="A720" s="18" t="n">
        <v>719</v>
      </c>
      <c r="B720" s="23" t="n">
        <v>-920</v>
      </c>
    </row>
    <row r="721">
      <c r="A721" s="18" t="n">
        <v>720</v>
      </c>
      <c r="B721" s="23" t="n">
        <v>-880</v>
      </c>
    </row>
    <row r="722">
      <c r="A722" s="18" t="n">
        <v>721</v>
      </c>
      <c r="B722" s="23" t="n">
        <v>-120</v>
      </c>
    </row>
    <row r="723">
      <c r="A723" s="18" t="n">
        <v>722</v>
      </c>
      <c r="B723" s="23" t="n">
        <v>-440</v>
      </c>
    </row>
    <row r="724">
      <c r="A724" s="18" t="n">
        <v>723</v>
      </c>
      <c r="B724" s="23" t="n">
        <v>-440</v>
      </c>
    </row>
    <row r="725">
      <c r="A725" s="18" t="n">
        <v>724</v>
      </c>
      <c r="B725" s="23" t="n">
        <v>-960</v>
      </c>
    </row>
    <row r="726">
      <c r="A726" s="18" t="n">
        <v>725</v>
      </c>
      <c r="B726" s="23" t="n">
        <v>-160</v>
      </c>
    </row>
    <row r="727">
      <c r="A727" s="18" t="n">
        <v>726</v>
      </c>
      <c r="B727" s="23" t="n">
        <v>-960</v>
      </c>
    </row>
    <row r="728">
      <c r="A728" s="18" t="n">
        <v>727</v>
      </c>
      <c r="B728" s="23" t="n">
        <v>-480</v>
      </c>
    </row>
    <row r="729">
      <c r="A729" s="18" t="n">
        <v>728</v>
      </c>
      <c r="B729" s="23" t="n">
        <v>160</v>
      </c>
    </row>
    <row r="730">
      <c r="A730" s="18" t="n">
        <v>729</v>
      </c>
      <c r="B730" s="23" t="n">
        <v>-400</v>
      </c>
    </row>
    <row r="731">
      <c r="A731" s="18" t="n">
        <v>730</v>
      </c>
      <c r="B731" s="23" t="n">
        <v>-720</v>
      </c>
    </row>
    <row r="732">
      <c r="A732" s="18" t="n">
        <v>731</v>
      </c>
      <c r="B732" s="23" t="n">
        <v>-240</v>
      </c>
    </row>
    <row r="733">
      <c r="A733" s="18" t="n">
        <v>732</v>
      </c>
      <c r="B733" s="23" t="n">
        <v>-600</v>
      </c>
    </row>
    <row r="734">
      <c r="A734" s="18" t="n">
        <v>733</v>
      </c>
      <c r="B734" s="23" t="n">
        <v>-880</v>
      </c>
    </row>
    <row r="735">
      <c r="A735" s="18" t="n">
        <v>734</v>
      </c>
      <c r="B735" s="23" t="n">
        <v>-680</v>
      </c>
    </row>
    <row r="736">
      <c r="A736" s="18" t="n">
        <v>735</v>
      </c>
      <c r="B736" s="23" t="n">
        <v>-1120</v>
      </c>
    </row>
    <row r="737">
      <c r="A737" s="18" t="n">
        <v>736</v>
      </c>
      <c r="B737" s="23" t="n">
        <v>-1120</v>
      </c>
    </row>
    <row r="738">
      <c r="A738" s="18" t="n">
        <v>737</v>
      </c>
      <c r="B738" s="23" t="n">
        <v>-1000</v>
      </c>
    </row>
    <row r="739">
      <c r="A739" s="18" t="n">
        <v>738</v>
      </c>
      <c r="B739" s="23" t="n">
        <v>120</v>
      </c>
    </row>
    <row r="740">
      <c r="A740" s="18" t="n">
        <v>739</v>
      </c>
      <c r="B740" s="23" t="n">
        <v>-880</v>
      </c>
    </row>
    <row r="741">
      <c r="A741" s="18" t="n">
        <v>740</v>
      </c>
      <c r="B741" s="23" t="n">
        <v>-760</v>
      </c>
    </row>
    <row r="742">
      <c r="A742" s="18" t="n">
        <v>741</v>
      </c>
      <c r="B742" s="23" t="n">
        <v>-440</v>
      </c>
    </row>
    <row r="743">
      <c r="A743" s="18" t="n">
        <v>742</v>
      </c>
      <c r="B743" s="23" t="n">
        <v>-1800</v>
      </c>
    </row>
    <row r="744">
      <c r="A744" s="18" t="n">
        <v>743</v>
      </c>
      <c r="B744" s="23" t="n">
        <v>-80</v>
      </c>
    </row>
    <row r="745">
      <c r="A745" s="18" t="n">
        <v>744</v>
      </c>
      <c r="B745" s="23" t="n">
        <v>-520</v>
      </c>
    </row>
    <row r="746">
      <c r="A746" s="18" t="n">
        <v>745</v>
      </c>
      <c r="B746" s="23" t="n">
        <v>-440</v>
      </c>
    </row>
    <row r="747">
      <c r="A747" s="18" t="n">
        <v>746</v>
      </c>
      <c r="B747" s="23" t="n">
        <v>-600</v>
      </c>
    </row>
    <row r="748">
      <c r="A748" s="18" t="n">
        <v>747</v>
      </c>
      <c r="B748" s="23" t="n">
        <v>-640</v>
      </c>
    </row>
    <row r="749">
      <c r="A749" s="18" t="n">
        <v>748</v>
      </c>
      <c r="B749" s="23" t="n">
        <v>-1080</v>
      </c>
    </row>
    <row r="750">
      <c r="A750" s="18" t="n">
        <v>749</v>
      </c>
      <c r="B750" s="23" t="n">
        <v>-400</v>
      </c>
    </row>
    <row r="751">
      <c r="A751" s="18" t="n">
        <v>750</v>
      </c>
      <c r="B751" s="23" t="n">
        <v>-640</v>
      </c>
    </row>
    <row r="752">
      <c r="A752" s="18" t="n">
        <v>751</v>
      </c>
      <c r="B752" s="23" t="n">
        <v>-880</v>
      </c>
    </row>
    <row r="753">
      <c r="A753" s="18" t="n">
        <v>752</v>
      </c>
      <c r="B753" s="23" t="n">
        <v>80</v>
      </c>
    </row>
    <row r="754">
      <c r="A754" s="18" t="n">
        <v>753</v>
      </c>
      <c r="B754" s="23" t="n">
        <v>-680</v>
      </c>
    </row>
    <row r="755">
      <c r="A755" s="18" t="n">
        <v>754</v>
      </c>
      <c r="B755" s="23" t="n">
        <v>-960</v>
      </c>
    </row>
    <row r="756">
      <c r="A756" s="18" t="n">
        <v>755</v>
      </c>
      <c r="B756" s="23" t="n">
        <v>-1000</v>
      </c>
    </row>
    <row r="757">
      <c r="A757" s="18" t="n">
        <v>756</v>
      </c>
      <c r="B757" s="23" t="n">
        <v>-640</v>
      </c>
    </row>
    <row r="758">
      <c r="A758" s="18" t="n">
        <v>757</v>
      </c>
      <c r="B758" s="23" t="n">
        <v>-1040</v>
      </c>
    </row>
    <row r="759">
      <c r="A759" s="18" t="n">
        <v>758</v>
      </c>
      <c r="B759" s="23" t="n">
        <v>-600</v>
      </c>
    </row>
    <row r="760">
      <c r="A760" s="18" t="n">
        <v>759</v>
      </c>
      <c r="B760" s="23" t="n">
        <v>-680</v>
      </c>
    </row>
    <row r="761">
      <c r="A761" s="18" t="n">
        <v>760</v>
      </c>
      <c r="B761" s="23" t="n">
        <v>-280</v>
      </c>
    </row>
    <row r="762">
      <c r="A762" s="18" t="n">
        <v>761</v>
      </c>
      <c r="B762" s="23" t="n">
        <v>-840</v>
      </c>
    </row>
    <row r="763">
      <c r="A763" s="18" t="n">
        <v>762</v>
      </c>
      <c r="B763" s="23" t="n">
        <v>-560</v>
      </c>
    </row>
    <row r="764">
      <c r="A764" s="18" t="n">
        <v>763</v>
      </c>
      <c r="B764" s="23" t="n">
        <v>-40</v>
      </c>
    </row>
    <row r="765">
      <c r="A765" s="18" t="n">
        <v>764</v>
      </c>
      <c r="B765" s="23" t="n">
        <v>-80</v>
      </c>
    </row>
    <row r="766">
      <c r="A766" s="18" t="n">
        <v>765</v>
      </c>
      <c r="B766" s="23" t="n">
        <v>-760</v>
      </c>
    </row>
    <row r="767">
      <c r="A767" s="18" t="n">
        <v>766</v>
      </c>
      <c r="B767" s="23" t="n">
        <v>-920</v>
      </c>
    </row>
    <row r="768">
      <c r="A768" s="18" t="n">
        <v>767</v>
      </c>
      <c r="B768" s="23" t="n">
        <v>-680</v>
      </c>
    </row>
    <row r="769">
      <c r="A769" s="18" t="n">
        <v>768</v>
      </c>
      <c r="B769" s="23" t="n">
        <v>-240</v>
      </c>
    </row>
    <row r="770">
      <c r="A770" s="18" t="n">
        <v>769</v>
      </c>
      <c r="B770" s="23" t="n">
        <v>-560</v>
      </c>
    </row>
    <row r="771">
      <c r="A771" s="18" t="n">
        <v>770</v>
      </c>
      <c r="B771" s="23" t="n">
        <v>-800</v>
      </c>
    </row>
    <row r="772">
      <c r="A772" s="18" t="n">
        <v>771</v>
      </c>
      <c r="B772" s="23" t="n">
        <v>-280</v>
      </c>
    </row>
    <row r="773">
      <c r="A773" s="18" t="n">
        <v>772</v>
      </c>
      <c r="B773" s="23" t="n">
        <v>-600</v>
      </c>
    </row>
    <row r="774">
      <c r="A774" s="18" t="n">
        <v>773</v>
      </c>
      <c r="B774" s="23" t="n">
        <v>-600</v>
      </c>
    </row>
    <row r="775">
      <c r="A775" s="18" t="n">
        <v>774</v>
      </c>
      <c r="B775" s="23" t="n">
        <v>-760</v>
      </c>
    </row>
    <row r="776">
      <c r="A776" s="18" t="n">
        <v>775</v>
      </c>
      <c r="B776" s="23" t="n">
        <v>-1000</v>
      </c>
    </row>
    <row r="777">
      <c r="A777" s="18" t="n">
        <v>776</v>
      </c>
      <c r="B777" s="23" t="n">
        <v>-1360</v>
      </c>
    </row>
    <row r="778">
      <c r="A778" s="18" t="n">
        <v>777</v>
      </c>
      <c r="B778" s="23" t="n">
        <v>-880</v>
      </c>
    </row>
    <row r="779">
      <c r="A779" s="18" t="n">
        <v>778</v>
      </c>
      <c r="B779" s="23" t="n">
        <v>80</v>
      </c>
    </row>
    <row r="780">
      <c r="A780" s="18" t="n">
        <v>779</v>
      </c>
      <c r="B780" s="23" t="n">
        <v>-840</v>
      </c>
    </row>
    <row r="781">
      <c r="A781" s="18" t="n">
        <v>780</v>
      </c>
      <c r="B781" s="23" t="n">
        <v>-1120</v>
      </c>
    </row>
    <row r="782">
      <c r="A782" s="18" t="n">
        <v>781</v>
      </c>
      <c r="B782" s="23" t="n">
        <v>-800</v>
      </c>
    </row>
    <row r="783">
      <c r="A783" s="18" t="n">
        <v>782</v>
      </c>
      <c r="B783" s="23" t="n">
        <v>240</v>
      </c>
    </row>
    <row r="784">
      <c r="A784" s="18" t="n">
        <v>783</v>
      </c>
      <c r="B784" s="23" t="n">
        <v>-1760</v>
      </c>
    </row>
    <row r="785">
      <c r="A785" s="18" t="n">
        <v>784</v>
      </c>
      <c r="B785" s="23" t="n">
        <v>-80</v>
      </c>
    </row>
    <row r="786">
      <c r="A786" s="18" t="n">
        <v>785</v>
      </c>
      <c r="B786" s="23" t="n">
        <v>-800</v>
      </c>
    </row>
    <row r="787">
      <c r="A787" s="18" t="n">
        <v>786</v>
      </c>
      <c r="B787" s="23" t="n">
        <v>-760</v>
      </c>
    </row>
    <row r="788">
      <c r="A788" s="18" t="n">
        <v>787</v>
      </c>
      <c r="B788" s="23" t="n">
        <v>-1160</v>
      </c>
    </row>
    <row r="789">
      <c r="A789" s="18" t="n">
        <v>788</v>
      </c>
      <c r="B789" s="23" t="n">
        <v>-520</v>
      </c>
    </row>
    <row r="790">
      <c r="A790" s="18" t="n">
        <v>789</v>
      </c>
      <c r="B790" s="23" t="n">
        <v>-960</v>
      </c>
    </row>
    <row r="791">
      <c r="A791" s="18" t="n">
        <v>790</v>
      </c>
      <c r="B791" s="23" t="n">
        <v>-520</v>
      </c>
    </row>
    <row r="792">
      <c r="A792" s="18" t="n">
        <v>791</v>
      </c>
      <c r="B792" s="23" t="n">
        <v>-160</v>
      </c>
    </row>
    <row r="793">
      <c r="A793" s="18" t="n">
        <v>792</v>
      </c>
      <c r="B793" s="23" t="n">
        <v>-440</v>
      </c>
    </row>
    <row r="794">
      <c r="A794" s="18" t="n">
        <v>793</v>
      </c>
      <c r="B794" s="23" t="n">
        <v>-600</v>
      </c>
    </row>
    <row r="795">
      <c r="A795" s="18" t="n">
        <v>794</v>
      </c>
      <c r="B795" s="23" t="n">
        <v>-480</v>
      </c>
    </row>
    <row r="796">
      <c r="A796" s="18" t="n">
        <v>795</v>
      </c>
      <c r="B796" s="23" t="n">
        <v>-1000</v>
      </c>
    </row>
    <row r="797">
      <c r="A797" s="18" t="n">
        <v>796</v>
      </c>
      <c r="B797" s="23" t="n">
        <v>-520</v>
      </c>
    </row>
    <row r="798">
      <c r="A798" s="18" t="n">
        <v>797</v>
      </c>
      <c r="B798" s="23" t="n">
        <v>-640</v>
      </c>
    </row>
    <row r="799">
      <c r="A799" s="18" t="n">
        <v>798</v>
      </c>
      <c r="B799" s="23" t="n">
        <v>-1280</v>
      </c>
    </row>
    <row r="800">
      <c r="A800" s="18" t="n">
        <v>799</v>
      </c>
      <c r="B800" s="23" t="n">
        <v>0</v>
      </c>
    </row>
    <row r="801">
      <c r="A801" s="18" t="n">
        <v>800</v>
      </c>
      <c r="B801" s="23" t="n">
        <v>-280</v>
      </c>
    </row>
    <row r="802">
      <c r="A802" s="18" t="n">
        <v>801</v>
      </c>
      <c r="B802" s="23" t="n">
        <v>-1120</v>
      </c>
    </row>
    <row r="803">
      <c r="A803" s="18" t="n">
        <v>802</v>
      </c>
      <c r="B803" s="23" t="n">
        <v>-760</v>
      </c>
    </row>
    <row r="804">
      <c r="A804" s="18" t="n">
        <v>803</v>
      </c>
      <c r="B804" s="23" t="n">
        <v>-440</v>
      </c>
    </row>
    <row r="805">
      <c r="A805" s="18" t="n">
        <v>804</v>
      </c>
      <c r="B805" s="23" t="n">
        <v>-1080</v>
      </c>
    </row>
    <row r="806">
      <c r="A806" s="18" t="n">
        <v>805</v>
      </c>
      <c r="B806" s="23" t="n">
        <v>-320</v>
      </c>
    </row>
    <row r="807">
      <c r="A807" s="18" t="n">
        <v>806</v>
      </c>
      <c r="B807" s="23" t="n">
        <v>-280</v>
      </c>
    </row>
    <row r="808">
      <c r="A808" s="18" t="n">
        <v>807</v>
      </c>
      <c r="B808" s="23" t="n">
        <v>-960</v>
      </c>
    </row>
    <row r="809">
      <c r="A809" s="18" t="n">
        <v>808</v>
      </c>
      <c r="B809" s="23" t="n">
        <v>320</v>
      </c>
    </row>
    <row r="810">
      <c r="A810" s="18" t="n">
        <v>809</v>
      </c>
      <c r="B810" s="23" t="n">
        <v>-1040</v>
      </c>
    </row>
    <row r="811">
      <c r="A811" s="18" t="n">
        <v>810</v>
      </c>
      <c r="B811" s="23" t="n">
        <v>-280</v>
      </c>
    </row>
    <row r="812">
      <c r="A812" s="18" t="n">
        <v>811</v>
      </c>
      <c r="B812" s="23" t="n">
        <v>-240</v>
      </c>
    </row>
    <row r="813">
      <c r="A813" s="18" t="n">
        <v>812</v>
      </c>
      <c r="B813" s="23" t="n">
        <v>-1240</v>
      </c>
    </row>
    <row r="814">
      <c r="A814" s="18" t="n">
        <v>813</v>
      </c>
      <c r="B814" s="23" t="n">
        <v>0</v>
      </c>
    </row>
    <row r="815">
      <c r="A815" s="18" t="n">
        <v>814</v>
      </c>
      <c r="B815" s="23" t="n">
        <v>-440</v>
      </c>
    </row>
    <row r="816">
      <c r="A816" s="18" t="n">
        <v>815</v>
      </c>
      <c r="B816" s="23" t="n">
        <v>-720</v>
      </c>
    </row>
    <row r="817">
      <c r="A817" s="18" t="n">
        <v>816</v>
      </c>
      <c r="B817" s="23" t="n">
        <v>-640</v>
      </c>
    </row>
    <row r="818">
      <c r="A818" s="18" t="n">
        <v>817</v>
      </c>
      <c r="B818" s="23" t="n">
        <v>-1720</v>
      </c>
    </row>
    <row r="819">
      <c r="A819" s="18" t="n">
        <v>818</v>
      </c>
      <c r="B819" s="23" t="n">
        <v>-320</v>
      </c>
    </row>
    <row r="820">
      <c r="A820" s="18" t="n">
        <v>819</v>
      </c>
      <c r="B820" s="23" t="n">
        <v>-1000</v>
      </c>
    </row>
    <row r="821">
      <c r="A821" s="18" t="n">
        <v>820</v>
      </c>
      <c r="B821" s="23" t="n">
        <v>-600</v>
      </c>
    </row>
    <row r="822">
      <c r="A822" s="18" t="n">
        <v>821</v>
      </c>
      <c r="B822" s="23" t="n">
        <v>-1080</v>
      </c>
    </row>
    <row r="823">
      <c r="A823" s="18" t="n">
        <v>822</v>
      </c>
      <c r="B823" s="23" t="n">
        <v>-840</v>
      </c>
    </row>
    <row r="824">
      <c r="A824" s="18" t="n">
        <v>823</v>
      </c>
      <c r="B824" s="23" t="n">
        <v>-1200</v>
      </c>
    </row>
    <row r="825">
      <c r="A825" s="18" t="n">
        <v>824</v>
      </c>
      <c r="B825" s="23" t="n">
        <v>-800</v>
      </c>
    </row>
    <row r="826">
      <c r="A826" s="18" t="n">
        <v>825</v>
      </c>
      <c r="B826" s="23" t="n">
        <v>-880</v>
      </c>
    </row>
    <row r="827">
      <c r="A827" s="18" t="n">
        <v>826</v>
      </c>
      <c r="B827" s="23" t="n">
        <v>-880</v>
      </c>
    </row>
    <row r="828">
      <c r="A828" s="18" t="n">
        <v>827</v>
      </c>
      <c r="B828" s="23" t="n">
        <v>-360</v>
      </c>
    </row>
    <row r="829">
      <c r="A829" s="18" t="n">
        <v>828</v>
      </c>
      <c r="B829" s="23" t="n">
        <v>-520</v>
      </c>
    </row>
    <row r="830">
      <c r="A830" s="18" t="n">
        <v>829</v>
      </c>
      <c r="B830" s="23" t="n">
        <v>-720</v>
      </c>
    </row>
    <row r="831">
      <c r="A831" s="18" t="n">
        <v>830</v>
      </c>
      <c r="B831" s="23" t="n">
        <v>-360</v>
      </c>
    </row>
    <row r="832">
      <c r="A832" s="18" t="n">
        <v>831</v>
      </c>
      <c r="B832" s="23" t="n">
        <v>-440</v>
      </c>
    </row>
    <row r="833">
      <c r="A833" s="18" t="n">
        <v>832</v>
      </c>
      <c r="B833" s="23" t="n">
        <v>-600</v>
      </c>
    </row>
    <row r="834">
      <c r="A834" s="18" t="n">
        <v>833</v>
      </c>
      <c r="B834" s="23" t="n">
        <v>-1080</v>
      </c>
    </row>
    <row r="835">
      <c r="A835" s="18" t="n">
        <v>834</v>
      </c>
      <c r="B835" s="23" t="n">
        <v>-1040</v>
      </c>
    </row>
    <row r="836">
      <c r="A836" s="18" t="n">
        <v>835</v>
      </c>
      <c r="B836" s="23" t="n">
        <v>-600</v>
      </c>
    </row>
    <row r="837">
      <c r="A837" s="18" t="n">
        <v>836</v>
      </c>
      <c r="B837" s="23" t="n">
        <v>-1080</v>
      </c>
    </row>
    <row r="838">
      <c r="A838" s="18" t="n">
        <v>837</v>
      </c>
      <c r="B838" s="23" t="n">
        <v>-1280</v>
      </c>
    </row>
    <row r="839">
      <c r="A839" s="18" t="n">
        <v>838</v>
      </c>
      <c r="B839" s="23" t="n">
        <v>-680</v>
      </c>
    </row>
    <row r="840">
      <c r="A840" s="18" t="n">
        <v>839</v>
      </c>
      <c r="B840" s="23" t="n">
        <v>-720</v>
      </c>
    </row>
    <row r="841">
      <c r="A841" s="18" t="n">
        <v>840</v>
      </c>
      <c r="B841" s="23" t="n">
        <v>-760</v>
      </c>
    </row>
    <row r="842">
      <c r="A842" s="18" t="n">
        <v>841</v>
      </c>
      <c r="B842" s="23" t="n">
        <v>-800</v>
      </c>
    </row>
    <row r="843">
      <c r="A843" s="18" t="n">
        <v>842</v>
      </c>
      <c r="B843" s="23" t="n">
        <v>-280</v>
      </c>
    </row>
    <row r="844">
      <c r="A844" s="18" t="n">
        <v>843</v>
      </c>
      <c r="B844" s="23" t="n">
        <v>-1080</v>
      </c>
    </row>
    <row r="845">
      <c r="A845" s="18" t="n">
        <v>844</v>
      </c>
      <c r="B845" s="23" t="n">
        <v>-1440</v>
      </c>
    </row>
    <row r="846">
      <c r="A846" s="18" t="n">
        <v>845</v>
      </c>
      <c r="B846" s="23" t="n">
        <v>-1160</v>
      </c>
    </row>
    <row r="847">
      <c r="A847" s="18" t="n">
        <v>846</v>
      </c>
      <c r="B847" s="23" t="n">
        <v>-760</v>
      </c>
    </row>
    <row r="848">
      <c r="A848" s="18" t="n">
        <v>847</v>
      </c>
      <c r="B848" s="23" t="n">
        <v>-360</v>
      </c>
    </row>
    <row r="849">
      <c r="A849" s="18" t="n">
        <v>848</v>
      </c>
      <c r="B849" s="23" t="n">
        <v>-840</v>
      </c>
    </row>
    <row r="850">
      <c r="A850" s="18" t="n">
        <v>849</v>
      </c>
      <c r="B850" s="23" t="n">
        <v>-280</v>
      </c>
    </row>
    <row r="851">
      <c r="A851" s="18" t="n">
        <v>850</v>
      </c>
      <c r="B851" s="23" t="n">
        <v>-560</v>
      </c>
    </row>
    <row r="852">
      <c r="A852" s="18" t="n">
        <v>851</v>
      </c>
      <c r="B852" s="23" t="n">
        <v>-1200</v>
      </c>
    </row>
    <row r="853">
      <c r="A853" s="18" t="n">
        <v>852</v>
      </c>
      <c r="B853" s="23" t="n">
        <v>200</v>
      </c>
    </row>
    <row r="854">
      <c r="A854" s="18" t="n">
        <v>853</v>
      </c>
      <c r="B854" s="23" t="n">
        <v>-320</v>
      </c>
    </row>
    <row r="855">
      <c r="A855" s="18" t="n">
        <v>854</v>
      </c>
      <c r="B855" s="23" t="n">
        <v>-840</v>
      </c>
    </row>
    <row r="856">
      <c r="A856" s="18" t="n">
        <v>855</v>
      </c>
      <c r="B856" s="23" t="n">
        <v>-1080</v>
      </c>
    </row>
    <row r="857">
      <c r="A857" s="18" t="n">
        <v>856</v>
      </c>
      <c r="B857" s="23" t="n">
        <v>0</v>
      </c>
    </row>
    <row r="858">
      <c r="A858" s="18" t="n">
        <v>857</v>
      </c>
      <c r="B858" s="23" t="n">
        <v>-520</v>
      </c>
    </row>
    <row r="859">
      <c r="A859" s="18" t="n">
        <v>858</v>
      </c>
      <c r="B859" s="23" t="n">
        <v>-1400</v>
      </c>
    </row>
    <row r="860">
      <c r="A860" s="18" t="n">
        <v>859</v>
      </c>
      <c r="B860" s="23" t="n">
        <v>-440</v>
      </c>
    </row>
    <row r="861">
      <c r="A861" s="18" t="n">
        <v>860</v>
      </c>
      <c r="B861" s="23" t="n">
        <v>-440</v>
      </c>
    </row>
    <row r="862">
      <c r="A862" s="18" t="n">
        <v>861</v>
      </c>
      <c r="B862" s="23" t="n">
        <v>-960</v>
      </c>
    </row>
    <row r="863">
      <c r="A863" s="18" t="n">
        <v>862</v>
      </c>
      <c r="B863" s="23" t="n">
        <v>-480</v>
      </c>
    </row>
    <row r="864">
      <c r="A864" s="18" t="n">
        <v>863</v>
      </c>
      <c r="B864" s="23" t="n">
        <v>-960</v>
      </c>
    </row>
    <row r="865">
      <c r="A865" s="18" t="n">
        <v>864</v>
      </c>
      <c r="B865" s="23" t="n">
        <v>-680</v>
      </c>
    </row>
    <row r="866">
      <c r="A866" s="18" t="n">
        <v>865</v>
      </c>
      <c r="B866" s="23" t="n">
        <v>-480</v>
      </c>
    </row>
    <row r="867">
      <c r="A867" s="18" t="n">
        <v>866</v>
      </c>
      <c r="B867" s="23" t="n">
        <v>-160</v>
      </c>
    </row>
    <row r="868">
      <c r="A868" s="18" t="n">
        <v>867</v>
      </c>
      <c r="B868" s="23" t="n">
        <v>-1040</v>
      </c>
    </row>
    <row r="869">
      <c r="A869" s="18" t="n">
        <v>868</v>
      </c>
      <c r="B869" s="23" t="n">
        <v>-1240</v>
      </c>
    </row>
    <row r="870">
      <c r="A870" s="18" t="n">
        <v>869</v>
      </c>
      <c r="B870" s="23" t="n">
        <v>-1040</v>
      </c>
    </row>
    <row r="871">
      <c r="A871" s="18" t="n">
        <v>870</v>
      </c>
      <c r="B871" s="23" t="n">
        <v>-1160</v>
      </c>
    </row>
    <row r="872">
      <c r="A872" s="18" t="n">
        <v>871</v>
      </c>
      <c r="B872" s="23" t="n">
        <v>-560</v>
      </c>
    </row>
    <row r="873">
      <c r="A873" s="18" t="n">
        <v>872</v>
      </c>
      <c r="B873" s="23" t="n">
        <v>-800</v>
      </c>
    </row>
    <row r="874">
      <c r="A874" s="18" t="n">
        <v>873</v>
      </c>
      <c r="B874" s="23" t="n">
        <v>-120</v>
      </c>
    </row>
    <row r="875">
      <c r="A875" s="18" t="n">
        <v>874</v>
      </c>
      <c r="B875" s="23" t="n">
        <v>-800</v>
      </c>
    </row>
    <row r="876">
      <c r="A876" s="18" t="n">
        <v>875</v>
      </c>
      <c r="B876" s="23" t="n">
        <v>-280</v>
      </c>
    </row>
    <row r="877">
      <c r="A877" s="18" t="n">
        <v>876</v>
      </c>
      <c r="B877" s="23" t="n">
        <v>-880</v>
      </c>
    </row>
    <row r="878">
      <c r="A878" s="18" t="n">
        <v>877</v>
      </c>
      <c r="B878" s="23" t="n">
        <v>-640</v>
      </c>
    </row>
    <row r="879">
      <c r="A879" s="18" t="n">
        <v>878</v>
      </c>
      <c r="B879" s="23" t="n">
        <v>-680</v>
      </c>
    </row>
    <row r="880">
      <c r="A880" s="18" t="n">
        <v>879</v>
      </c>
      <c r="B880" s="23" t="n">
        <v>-840</v>
      </c>
    </row>
    <row r="881">
      <c r="A881" s="18" t="n">
        <v>880</v>
      </c>
      <c r="B881" s="23" t="n">
        <v>-360</v>
      </c>
    </row>
    <row r="882">
      <c r="A882" s="18" t="n">
        <v>881</v>
      </c>
      <c r="B882" s="23" t="n">
        <v>-760</v>
      </c>
    </row>
    <row r="883">
      <c r="A883" s="18" t="n">
        <v>882</v>
      </c>
      <c r="B883" s="23" t="n">
        <v>-280</v>
      </c>
    </row>
    <row r="884">
      <c r="A884" s="18" t="n">
        <v>883</v>
      </c>
      <c r="B884" s="23" t="n">
        <v>-800</v>
      </c>
    </row>
    <row r="885">
      <c r="A885" s="18" t="n">
        <v>884</v>
      </c>
      <c r="B885" s="23" t="n">
        <v>-120</v>
      </c>
    </row>
    <row r="886">
      <c r="A886" s="18" t="n">
        <v>885</v>
      </c>
      <c r="B886" s="23" t="n">
        <v>80</v>
      </c>
    </row>
    <row r="887">
      <c r="A887" s="18" t="n">
        <v>886</v>
      </c>
      <c r="B887" s="23" t="n">
        <v>-200</v>
      </c>
    </row>
    <row r="888">
      <c r="A888" s="18" t="n">
        <v>887</v>
      </c>
      <c r="B888" s="23" t="n">
        <v>-1720</v>
      </c>
    </row>
    <row r="889">
      <c r="A889" s="18" t="n">
        <v>888</v>
      </c>
      <c r="B889" s="23" t="n">
        <v>-480</v>
      </c>
    </row>
    <row r="890">
      <c r="A890" s="18" t="n">
        <v>889</v>
      </c>
      <c r="B890" s="23" t="n">
        <v>-880</v>
      </c>
    </row>
    <row r="891">
      <c r="A891" s="18" t="n">
        <v>890</v>
      </c>
      <c r="B891" s="23" t="n">
        <v>-1000</v>
      </c>
    </row>
    <row r="892">
      <c r="A892" s="18" t="n">
        <v>891</v>
      </c>
      <c r="B892" s="23" t="n">
        <v>-640</v>
      </c>
    </row>
    <row r="893">
      <c r="A893" s="18" t="n">
        <v>892</v>
      </c>
      <c r="B893" s="23" t="n">
        <v>-440</v>
      </c>
    </row>
    <row r="894">
      <c r="A894" s="18" t="n">
        <v>893</v>
      </c>
      <c r="B894" s="23" t="n">
        <v>-1080</v>
      </c>
    </row>
    <row r="895">
      <c r="A895" s="18" t="n">
        <v>894</v>
      </c>
      <c r="B895" s="23" t="n">
        <v>-840</v>
      </c>
    </row>
    <row r="896">
      <c r="A896" s="18" t="n">
        <v>895</v>
      </c>
      <c r="B896" s="23" t="n">
        <v>240</v>
      </c>
    </row>
    <row r="897">
      <c r="A897" s="18" t="n">
        <v>896</v>
      </c>
      <c r="B897" s="23" t="n">
        <v>-560</v>
      </c>
    </row>
    <row r="898">
      <c r="A898" s="18" t="n">
        <v>897</v>
      </c>
      <c r="B898" s="23" t="n">
        <v>-760</v>
      </c>
    </row>
    <row r="899">
      <c r="A899" s="18" t="n">
        <v>898</v>
      </c>
      <c r="B899" s="23" t="n">
        <v>-680</v>
      </c>
    </row>
    <row r="900">
      <c r="A900" s="18" t="n">
        <v>899</v>
      </c>
      <c r="B900" s="23" t="n">
        <v>-1120</v>
      </c>
    </row>
    <row r="901">
      <c r="A901" s="18" t="n">
        <v>900</v>
      </c>
      <c r="B901" s="23" t="n">
        <v>-40</v>
      </c>
    </row>
    <row r="902">
      <c r="A902" s="18" t="n">
        <v>901</v>
      </c>
      <c r="B902" s="23" t="n">
        <v>-1320</v>
      </c>
    </row>
    <row r="903">
      <c r="A903" s="18" t="n">
        <v>902</v>
      </c>
      <c r="B903" s="23" t="n">
        <v>-480</v>
      </c>
    </row>
    <row r="904">
      <c r="A904" s="18" t="n">
        <v>903</v>
      </c>
      <c r="B904" s="23" t="n">
        <v>-440</v>
      </c>
    </row>
    <row r="905">
      <c r="A905" s="18" t="n">
        <v>904</v>
      </c>
      <c r="B905" s="23" t="n">
        <v>-1640</v>
      </c>
    </row>
    <row r="906">
      <c r="A906" s="18" t="n">
        <v>905</v>
      </c>
      <c r="B906" s="23" t="n">
        <v>120</v>
      </c>
    </row>
    <row r="907">
      <c r="A907" s="18" t="n">
        <v>906</v>
      </c>
      <c r="B907" s="23" t="n">
        <v>-120</v>
      </c>
    </row>
    <row r="908">
      <c r="A908" s="18" t="n">
        <v>907</v>
      </c>
      <c r="B908" s="23" t="n">
        <v>-1000</v>
      </c>
    </row>
    <row r="909">
      <c r="A909" s="18" t="n">
        <v>908</v>
      </c>
      <c r="B909" s="23" t="n">
        <v>-1520</v>
      </c>
    </row>
    <row r="910">
      <c r="A910" s="18" t="n">
        <v>909</v>
      </c>
      <c r="B910" s="23" t="n">
        <v>-1200</v>
      </c>
    </row>
    <row r="911">
      <c r="A911" s="18" t="n">
        <v>910</v>
      </c>
      <c r="B911" s="23" t="n">
        <v>-680</v>
      </c>
    </row>
    <row r="912">
      <c r="A912" s="18" t="n">
        <v>911</v>
      </c>
      <c r="B912" s="23" t="n">
        <v>-760</v>
      </c>
    </row>
    <row r="913">
      <c r="A913" s="18" t="n">
        <v>912</v>
      </c>
      <c r="B913" s="23" t="n">
        <v>-880</v>
      </c>
    </row>
    <row r="914">
      <c r="A914" s="18" t="n">
        <v>913</v>
      </c>
      <c r="B914" s="23" t="n">
        <v>-960</v>
      </c>
    </row>
    <row r="915">
      <c r="A915" s="18" t="n">
        <v>914</v>
      </c>
      <c r="B915" s="23" t="n">
        <v>-440</v>
      </c>
    </row>
    <row r="916">
      <c r="A916" s="18" t="n">
        <v>915</v>
      </c>
      <c r="B916" s="23" t="n">
        <v>400</v>
      </c>
    </row>
    <row r="917">
      <c r="A917" s="18" t="n">
        <v>916</v>
      </c>
      <c r="B917" s="23" t="n">
        <v>-800</v>
      </c>
    </row>
    <row r="918">
      <c r="A918" s="18" t="n">
        <v>917</v>
      </c>
      <c r="B918" s="23" t="n">
        <v>-720</v>
      </c>
    </row>
    <row r="919">
      <c r="A919" s="18" t="n">
        <v>918</v>
      </c>
      <c r="B919" s="23" t="n">
        <v>-1000</v>
      </c>
    </row>
    <row r="920">
      <c r="A920" s="18" t="n">
        <v>919</v>
      </c>
      <c r="B920" s="23" t="n">
        <v>-120</v>
      </c>
    </row>
    <row r="921">
      <c r="A921" s="18" t="n">
        <v>920</v>
      </c>
      <c r="B921" s="23" t="n">
        <v>-360</v>
      </c>
    </row>
    <row r="922">
      <c r="A922" s="18" t="n">
        <v>921</v>
      </c>
      <c r="B922" s="23" t="n">
        <v>-440</v>
      </c>
    </row>
    <row r="923">
      <c r="A923" s="18" t="n">
        <v>922</v>
      </c>
      <c r="B923" s="23" t="n">
        <v>-560</v>
      </c>
    </row>
    <row r="924">
      <c r="A924" s="18" t="n">
        <v>923</v>
      </c>
      <c r="B924" s="23" t="n">
        <v>-440</v>
      </c>
    </row>
    <row r="925">
      <c r="A925" s="18" t="n">
        <v>924</v>
      </c>
      <c r="B925" s="23" t="n">
        <v>-1240</v>
      </c>
    </row>
    <row r="926">
      <c r="A926" s="18" t="n">
        <v>925</v>
      </c>
      <c r="B926" s="23" t="n">
        <v>-1040</v>
      </c>
    </row>
    <row r="927">
      <c r="A927" s="18" t="n">
        <v>926</v>
      </c>
      <c r="B927" s="23" t="n">
        <v>-280</v>
      </c>
    </row>
    <row r="928">
      <c r="A928" s="18" t="n">
        <v>927</v>
      </c>
      <c r="B928" s="23" t="n">
        <v>-880</v>
      </c>
    </row>
    <row r="929">
      <c r="A929" s="18" t="n">
        <v>928</v>
      </c>
      <c r="B929" s="23" t="n">
        <v>-920</v>
      </c>
    </row>
    <row r="930">
      <c r="A930" s="18" t="n">
        <v>929</v>
      </c>
      <c r="B930" s="23" t="n">
        <v>-80</v>
      </c>
    </row>
    <row r="931">
      <c r="A931" s="18" t="n">
        <v>930</v>
      </c>
      <c r="B931" s="23" t="n">
        <v>-1440</v>
      </c>
    </row>
    <row r="932">
      <c r="A932" s="18" t="n">
        <v>931</v>
      </c>
      <c r="B932" s="23" t="n">
        <v>-320</v>
      </c>
    </row>
    <row r="933">
      <c r="A933" s="18" t="n">
        <v>932</v>
      </c>
      <c r="B933" s="23" t="n">
        <v>-680</v>
      </c>
    </row>
    <row r="934">
      <c r="A934" s="18" t="n">
        <v>933</v>
      </c>
      <c r="B934" s="23" t="n">
        <v>-480</v>
      </c>
    </row>
    <row r="935">
      <c r="A935" s="18" t="n">
        <v>934</v>
      </c>
      <c r="B935" s="23" t="n">
        <v>160</v>
      </c>
    </row>
    <row r="936">
      <c r="A936" s="18" t="n">
        <v>935</v>
      </c>
      <c r="B936" s="23" t="n">
        <v>-440</v>
      </c>
    </row>
    <row r="937">
      <c r="A937" s="18" t="n">
        <v>936</v>
      </c>
      <c r="B937" s="23" t="n">
        <v>-1080</v>
      </c>
    </row>
    <row r="938">
      <c r="A938" s="18" t="n">
        <v>937</v>
      </c>
      <c r="B938" s="23" t="n">
        <v>-200</v>
      </c>
    </row>
    <row r="939">
      <c r="A939" s="18" t="n">
        <v>938</v>
      </c>
      <c r="B939" s="23" t="n">
        <v>-1000</v>
      </c>
    </row>
    <row r="940">
      <c r="A940" s="18" t="n">
        <v>939</v>
      </c>
      <c r="B940" s="23" t="n">
        <v>-440</v>
      </c>
    </row>
    <row r="941">
      <c r="A941" s="18" t="n">
        <v>940</v>
      </c>
      <c r="B941" s="23" t="n">
        <v>-1280</v>
      </c>
    </row>
    <row r="942">
      <c r="A942" s="18" t="n">
        <v>941</v>
      </c>
      <c r="B942" s="23" t="n">
        <v>-1120</v>
      </c>
    </row>
    <row r="943">
      <c r="A943" s="18" t="n">
        <v>942</v>
      </c>
      <c r="B943" s="23" t="n">
        <v>-840</v>
      </c>
    </row>
    <row r="944">
      <c r="A944" s="18" t="n">
        <v>943</v>
      </c>
      <c r="B944" s="23" t="n">
        <v>-1160</v>
      </c>
    </row>
    <row r="945">
      <c r="A945" s="18" t="n">
        <v>944</v>
      </c>
      <c r="B945" s="23" t="n">
        <v>-520</v>
      </c>
    </row>
    <row r="946">
      <c r="A946" s="18" t="n">
        <v>945</v>
      </c>
      <c r="B946" s="23" t="n">
        <v>-480</v>
      </c>
    </row>
    <row r="947">
      <c r="A947" s="18" t="n">
        <v>946</v>
      </c>
      <c r="B947" s="23" t="n">
        <v>-800</v>
      </c>
    </row>
    <row r="948">
      <c r="A948" s="18" t="n">
        <v>947</v>
      </c>
      <c r="B948" s="23" t="n">
        <v>-600</v>
      </c>
    </row>
    <row r="949">
      <c r="A949" s="18" t="n">
        <v>948</v>
      </c>
      <c r="B949" s="23" t="n">
        <v>-480</v>
      </c>
    </row>
    <row r="950">
      <c r="A950" s="18" t="n">
        <v>949</v>
      </c>
      <c r="B950" s="23" t="n">
        <v>200</v>
      </c>
    </row>
    <row r="951">
      <c r="A951" s="18" t="n">
        <v>950</v>
      </c>
      <c r="B951" s="23" t="n">
        <v>-960</v>
      </c>
    </row>
    <row r="952">
      <c r="A952" s="18" t="n">
        <v>951</v>
      </c>
      <c r="B952" s="23" t="n">
        <v>-800</v>
      </c>
    </row>
    <row r="953">
      <c r="A953" s="18" t="n">
        <v>952</v>
      </c>
      <c r="B953" s="23" t="n">
        <v>-600</v>
      </c>
    </row>
    <row r="954">
      <c r="A954" s="18" t="n">
        <v>953</v>
      </c>
      <c r="B954" s="23" t="n">
        <v>-400</v>
      </c>
    </row>
    <row r="955">
      <c r="A955" s="18" t="n">
        <v>954</v>
      </c>
      <c r="B955" s="23" t="n">
        <v>-760</v>
      </c>
    </row>
    <row r="956">
      <c r="A956" s="18" t="n">
        <v>955</v>
      </c>
      <c r="B956" s="23" t="n">
        <v>-920</v>
      </c>
    </row>
    <row r="957">
      <c r="A957" s="18" t="n">
        <v>956</v>
      </c>
      <c r="B957" s="23" t="n">
        <v>-600</v>
      </c>
    </row>
    <row r="958">
      <c r="A958" s="18" t="n">
        <v>957</v>
      </c>
      <c r="B958" s="23" t="n">
        <v>-680</v>
      </c>
    </row>
    <row r="959">
      <c r="A959" s="18" t="n">
        <v>958</v>
      </c>
      <c r="B959" s="23" t="n">
        <v>-240</v>
      </c>
    </row>
    <row r="960">
      <c r="A960" s="18" t="n">
        <v>959</v>
      </c>
      <c r="B960" s="23" t="n">
        <v>-1000</v>
      </c>
    </row>
    <row r="961">
      <c r="A961" s="18" t="n">
        <v>960</v>
      </c>
      <c r="B961" s="23" t="n">
        <v>-240</v>
      </c>
    </row>
    <row r="962">
      <c r="A962" s="18" t="n">
        <v>961</v>
      </c>
      <c r="B962" s="23" t="n">
        <v>-760</v>
      </c>
    </row>
    <row r="963">
      <c r="A963" s="18" t="n">
        <v>962</v>
      </c>
      <c r="B963" s="23" t="n">
        <v>-600</v>
      </c>
    </row>
    <row r="964">
      <c r="A964" s="18" t="n">
        <v>963</v>
      </c>
      <c r="B964" s="23" t="n">
        <v>-120</v>
      </c>
    </row>
    <row r="965">
      <c r="A965" s="18" t="n">
        <v>964</v>
      </c>
      <c r="B965" s="23" t="n">
        <v>80</v>
      </c>
    </row>
    <row r="966">
      <c r="A966" s="18" t="n">
        <v>965</v>
      </c>
      <c r="B966" s="23" t="n">
        <v>-1320</v>
      </c>
    </row>
    <row r="967">
      <c r="A967" s="18" t="n">
        <v>966</v>
      </c>
      <c r="B967" s="23" t="n">
        <v>-480</v>
      </c>
    </row>
    <row r="968">
      <c r="A968" s="18" t="n">
        <v>967</v>
      </c>
      <c r="B968" s="23" t="n">
        <v>-320</v>
      </c>
    </row>
    <row r="969">
      <c r="A969" s="18" t="n">
        <v>968</v>
      </c>
      <c r="B969" s="23" t="n">
        <v>-480</v>
      </c>
    </row>
    <row r="970">
      <c r="A970" s="18" t="n">
        <v>969</v>
      </c>
      <c r="B970" s="23" t="n">
        <v>-80</v>
      </c>
    </row>
    <row r="971">
      <c r="A971" s="18" t="n">
        <v>970</v>
      </c>
      <c r="B971" s="23" t="n">
        <v>-680</v>
      </c>
    </row>
    <row r="972">
      <c r="A972" s="18" t="n">
        <v>971</v>
      </c>
      <c r="B972" s="23" t="n">
        <v>-1480</v>
      </c>
    </row>
    <row r="973">
      <c r="A973" s="18" t="n">
        <v>972</v>
      </c>
      <c r="B973" s="23" t="n">
        <v>-1240</v>
      </c>
    </row>
    <row r="974">
      <c r="A974" s="18" t="n">
        <v>973</v>
      </c>
      <c r="B974" s="23" t="n">
        <v>-240</v>
      </c>
    </row>
    <row r="975">
      <c r="A975" s="18" t="n">
        <v>974</v>
      </c>
      <c r="B975" s="23" t="n">
        <v>-960</v>
      </c>
    </row>
    <row r="976">
      <c r="A976" s="18" t="n">
        <v>975</v>
      </c>
      <c r="B976" s="23" t="n">
        <v>-280</v>
      </c>
    </row>
    <row r="977">
      <c r="A977" s="18" t="n">
        <v>976</v>
      </c>
      <c r="B977" s="23" t="n">
        <v>-920</v>
      </c>
    </row>
    <row r="978">
      <c r="A978" s="18" t="n">
        <v>977</v>
      </c>
      <c r="B978" s="23" t="n">
        <v>-1320</v>
      </c>
    </row>
    <row r="979">
      <c r="A979" s="18" t="n">
        <v>978</v>
      </c>
      <c r="B979" s="23" t="n">
        <v>-640</v>
      </c>
    </row>
    <row r="980">
      <c r="A980" s="18" t="n">
        <v>979</v>
      </c>
      <c r="B980" s="23" t="n">
        <v>-880</v>
      </c>
    </row>
    <row r="981">
      <c r="A981" s="18" t="n">
        <v>980</v>
      </c>
      <c r="B981" s="23" t="n">
        <v>-1280</v>
      </c>
    </row>
    <row r="982">
      <c r="A982" s="18" t="n">
        <v>981</v>
      </c>
      <c r="B982" s="23" t="n">
        <v>-640</v>
      </c>
    </row>
    <row r="983">
      <c r="A983" s="18" t="n">
        <v>982</v>
      </c>
      <c r="B983" s="23" t="n">
        <v>0</v>
      </c>
    </row>
    <row r="984">
      <c r="A984" s="18" t="n">
        <v>983</v>
      </c>
      <c r="B984" s="23" t="n">
        <v>-520</v>
      </c>
    </row>
    <row r="985">
      <c r="A985" s="18" t="n">
        <v>984</v>
      </c>
      <c r="B985" s="23" t="n">
        <v>-880</v>
      </c>
    </row>
    <row r="986">
      <c r="A986" s="18" t="n">
        <v>985</v>
      </c>
      <c r="B986" s="23" t="n">
        <v>-680</v>
      </c>
    </row>
    <row r="987">
      <c r="A987" s="18" t="n">
        <v>986</v>
      </c>
      <c r="B987" s="23" t="n">
        <v>-640</v>
      </c>
    </row>
    <row r="988">
      <c r="A988" s="18" t="n">
        <v>987</v>
      </c>
      <c r="B988" s="23" t="n">
        <v>-280</v>
      </c>
    </row>
    <row r="989">
      <c r="A989" s="18" t="n">
        <v>988</v>
      </c>
      <c r="B989" s="23" t="n">
        <v>-1080</v>
      </c>
    </row>
    <row r="990">
      <c r="A990" s="18" t="n">
        <v>989</v>
      </c>
      <c r="B990" s="23" t="n">
        <v>-840</v>
      </c>
    </row>
    <row r="991">
      <c r="A991" s="18" t="n">
        <v>990</v>
      </c>
      <c r="B991" s="23" t="n">
        <v>-800</v>
      </c>
    </row>
    <row r="992">
      <c r="A992" s="18" t="n">
        <v>991</v>
      </c>
      <c r="B992" s="23" t="n">
        <v>-320</v>
      </c>
    </row>
    <row r="993">
      <c r="A993" s="18" t="n">
        <v>992</v>
      </c>
      <c r="B993" s="23" t="n">
        <v>-1400</v>
      </c>
    </row>
    <row r="994">
      <c r="A994" s="18" t="n">
        <v>993</v>
      </c>
      <c r="B994" s="23" t="n">
        <v>40</v>
      </c>
    </row>
    <row r="995">
      <c r="A995" s="18" t="n">
        <v>994</v>
      </c>
      <c r="B995" s="23" t="n">
        <v>-760</v>
      </c>
    </row>
    <row r="996">
      <c r="A996" s="18" t="n">
        <v>995</v>
      </c>
      <c r="B996" s="23" t="n">
        <v>0</v>
      </c>
    </row>
    <row r="997">
      <c r="A997" s="18" t="n">
        <v>996</v>
      </c>
      <c r="B997" s="23" t="n">
        <v>-160</v>
      </c>
    </row>
    <row r="998">
      <c r="A998" s="18" t="n">
        <v>997</v>
      </c>
      <c r="B998" s="23" t="n">
        <v>360</v>
      </c>
    </row>
    <row r="999">
      <c r="A999" s="18" t="n">
        <v>998</v>
      </c>
      <c r="B999" s="23" t="n">
        <v>-1480</v>
      </c>
    </row>
    <row r="1000">
      <c r="A1000" s="18" t="n">
        <v>999</v>
      </c>
      <c r="B1000" s="23" t="n">
        <v>-240</v>
      </c>
    </row>
    <row r="1001">
      <c r="A1001" s="18" t="n">
        <v>1000</v>
      </c>
      <c r="B1001" s="23" t="n">
        <v>-400</v>
      </c>
    </row>
    <row r="1002">
      <c r="A1002" s="18" t="n">
        <v>1001</v>
      </c>
      <c r="B1002" s="23" t="n">
        <v>-560</v>
      </c>
    </row>
    <row r="1003">
      <c r="A1003" s="18" t="n">
        <v>1002</v>
      </c>
      <c r="B1003" s="23" t="n">
        <v>-520</v>
      </c>
    </row>
    <row r="1004">
      <c r="A1004" s="18" t="n">
        <v>1003</v>
      </c>
      <c r="B1004" s="23" t="n">
        <v>-280</v>
      </c>
    </row>
    <row r="1005">
      <c r="A1005" s="18" t="n">
        <v>1004</v>
      </c>
      <c r="B1005" s="23" t="n">
        <v>-800</v>
      </c>
    </row>
    <row r="1006">
      <c r="A1006" s="18" t="n">
        <v>1005</v>
      </c>
      <c r="B1006" s="23" t="n">
        <v>-800</v>
      </c>
    </row>
    <row r="1007">
      <c r="A1007" s="18" t="n">
        <v>1006</v>
      </c>
      <c r="B1007" s="23" t="n">
        <v>-760</v>
      </c>
    </row>
    <row r="1008">
      <c r="A1008" s="18" t="n">
        <v>1007</v>
      </c>
      <c r="B1008" s="23" t="n">
        <v>-360</v>
      </c>
    </row>
    <row r="1009">
      <c r="A1009" s="18" t="n">
        <v>1008</v>
      </c>
      <c r="B1009" s="23" t="n">
        <v>-200</v>
      </c>
    </row>
    <row r="1010">
      <c r="A1010" s="18" t="n">
        <v>1009</v>
      </c>
      <c r="B1010" s="23" t="n">
        <v>-880</v>
      </c>
    </row>
    <row r="1011">
      <c r="A1011" s="18" t="n">
        <v>1010</v>
      </c>
      <c r="B1011" s="23" t="n">
        <v>-640</v>
      </c>
    </row>
    <row r="1012">
      <c r="A1012" s="18" t="n">
        <v>1011</v>
      </c>
      <c r="B1012" s="23" t="n">
        <v>1000</v>
      </c>
    </row>
    <row r="1013">
      <c r="A1013" s="18" t="n">
        <v>1012</v>
      </c>
      <c r="B1013" s="23" t="n">
        <v>-1280</v>
      </c>
    </row>
    <row r="1014">
      <c r="A1014" s="18" t="n">
        <v>1013</v>
      </c>
      <c r="B1014" s="23" t="n">
        <v>200</v>
      </c>
    </row>
    <row r="1015">
      <c r="A1015" s="18" t="n">
        <v>1014</v>
      </c>
      <c r="B1015" s="23" t="n">
        <v>-1320</v>
      </c>
    </row>
    <row r="1016">
      <c r="A1016" s="18" t="n">
        <v>1015</v>
      </c>
      <c r="B1016" s="23" t="n">
        <v>-320</v>
      </c>
    </row>
    <row r="1017">
      <c r="A1017" s="18" t="n">
        <v>1016</v>
      </c>
      <c r="B1017" s="23" t="n">
        <v>-320</v>
      </c>
    </row>
    <row r="1018">
      <c r="A1018" s="18" t="n">
        <v>1017</v>
      </c>
      <c r="B1018" s="23" t="n">
        <v>-920</v>
      </c>
    </row>
    <row r="1019">
      <c r="A1019" s="18" t="n">
        <v>1018</v>
      </c>
      <c r="B1019" s="23" t="n">
        <v>-600</v>
      </c>
    </row>
    <row r="1020">
      <c r="A1020" s="18" t="n">
        <v>1019</v>
      </c>
      <c r="B1020" s="23" t="n">
        <v>-800</v>
      </c>
    </row>
    <row r="1021">
      <c r="A1021" s="18" t="n">
        <v>1020</v>
      </c>
      <c r="B1021" s="23" t="n">
        <v>-120</v>
      </c>
    </row>
    <row r="1022">
      <c r="A1022" s="18" t="n">
        <v>1021</v>
      </c>
      <c r="B1022" s="23" t="n">
        <v>-120</v>
      </c>
    </row>
    <row r="1023">
      <c r="A1023" s="18" t="n">
        <v>1022</v>
      </c>
      <c r="B1023" s="23" t="n">
        <v>-800</v>
      </c>
    </row>
    <row r="1024">
      <c r="A1024" s="18" t="n">
        <v>1023</v>
      </c>
      <c r="B1024" s="23" t="n">
        <v>-440</v>
      </c>
    </row>
    <row r="1025">
      <c r="A1025" s="18" t="n">
        <v>1024</v>
      </c>
      <c r="B1025" s="23" t="n">
        <v>-920</v>
      </c>
    </row>
    <row r="1026">
      <c r="A1026" s="18" t="n">
        <v>1025</v>
      </c>
      <c r="B1026" s="23" t="n">
        <v>-480</v>
      </c>
    </row>
    <row r="1027">
      <c r="A1027" s="18" t="n">
        <v>1026</v>
      </c>
      <c r="B1027" s="23" t="n">
        <v>-360</v>
      </c>
    </row>
    <row r="1028">
      <c r="A1028" s="18" t="n">
        <v>1027</v>
      </c>
      <c r="B1028" s="23" t="n">
        <v>-240</v>
      </c>
    </row>
    <row r="1029">
      <c r="A1029" s="18" t="n">
        <v>1028</v>
      </c>
      <c r="B1029" s="23" t="n">
        <v>-80</v>
      </c>
    </row>
    <row r="1030">
      <c r="A1030" s="18" t="n">
        <v>1029</v>
      </c>
      <c r="B1030" s="23" t="n">
        <v>-800</v>
      </c>
    </row>
    <row r="1031">
      <c r="A1031" s="18" t="n">
        <v>1030</v>
      </c>
      <c r="B1031" s="23" t="n">
        <v>-1480</v>
      </c>
    </row>
    <row r="1032">
      <c r="A1032" s="18" t="n">
        <v>1031</v>
      </c>
      <c r="B1032" s="23" t="n">
        <v>-1080</v>
      </c>
    </row>
    <row r="1033">
      <c r="A1033" s="18" t="n">
        <v>1032</v>
      </c>
      <c r="B1033" s="23" t="n">
        <v>-640</v>
      </c>
    </row>
    <row r="1034">
      <c r="A1034" s="18" t="n">
        <v>1033</v>
      </c>
      <c r="B1034" s="23" t="n">
        <v>-640</v>
      </c>
    </row>
    <row r="1035">
      <c r="A1035" s="18" t="n">
        <v>1034</v>
      </c>
      <c r="B1035" s="23" t="n">
        <v>-720</v>
      </c>
    </row>
    <row r="1036">
      <c r="A1036" s="18" t="n">
        <v>1035</v>
      </c>
      <c r="B1036" s="23" t="n">
        <v>-600</v>
      </c>
    </row>
    <row r="1037">
      <c r="A1037" s="18" t="n">
        <v>1036</v>
      </c>
      <c r="B1037" s="23" t="n">
        <v>-560</v>
      </c>
    </row>
    <row r="1038">
      <c r="A1038" s="18" t="n">
        <v>1037</v>
      </c>
      <c r="B1038" s="23" t="n">
        <v>-640</v>
      </c>
    </row>
    <row r="1039">
      <c r="A1039" s="18" t="n">
        <v>1038</v>
      </c>
      <c r="B1039" s="23" t="n">
        <v>-800</v>
      </c>
    </row>
    <row r="1040">
      <c r="A1040" s="18" t="n">
        <v>1039</v>
      </c>
      <c r="B1040" s="23" t="n">
        <v>-1240</v>
      </c>
    </row>
    <row r="1041">
      <c r="A1041" s="18" t="n">
        <v>1040</v>
      </c>
      <c r="B1041" s="23" t="n">
        <v>-680</v>
      </c>
    </row>
    <row r="1042">
      <c r="A1042" s="18" t="n">
        <v>1041</v>
      </c>
      <c r="B1042" s="23" t="n">
        <v>-480</v>
      </c>
    </row>
    <row r="1043">
      <c r="A1043" s="18" t="n">
        <v>1042</v>
      </c>
      <c r="B1043" s="23" t="n">
        <v>-40</v>
      </c>
    </row>
    <row r="1044">
      <c r="A1044" s="18" t="n">
        <v>1043</v>
      </c>
      <c r="B1044" s="23" t="n">
        <v>-920</v>
      </c>
    </row>
    <row r="1045">
      <c r="A1045" s="18" t="n">
        <v>1044</v>
      </c>
      <c r="B1045" s="23" t="n">
        <v>-880</v>
      </c>
    </row>
    <row r="1046">
      <c r="A1046" s="18" t="n">
        <v>1045</v>
      </c>
      <c r="B1046" s="23" t="n">
        <v>-840</v>
      </c>
    </row>
    <row r="1047">
      <c r="A1047" s="18" t="n">
        <v>1046</v>
      </c>
      <c r="B1047" s="23" t="n">
        <v>-800</v>
      </c>
    </row>
    <row r="1048">
      <c r="A1048" s="18" t="n">
        <v>1047</v>
      </c>
      <c r="B1048" s="23" t="n">
        <v>-1440</v>
      </c>
    </row>
    <row r="1049">
      <c r="A1049" s="18" t="n">
        <v>1048</v>
      </c>
      <c r="B1049" s="23" t="n">
        <v>280</v>
      </c>
    </row>
    <row r="1050">
      <c r="A1050" s="18" t="n">
        <v>1049</v>
      </c>
      <c r="B1050" s="23" t="n">
        <v>-640</v>
      </c>
    </row>
    <row r="1051">
      <c r="A1051" s="18" t="n">
        <v>1050</v>
      </c>
      <c r="B1051" s="23" t="n">
        <v>-640</v>
      </c>
    </row>
    <row r="1052">
      <c r="A1052" s="18" t="n">
        <v>1051</v>
      </c>
      <c r="B1052" s="23" t="n">
        <v>-520</v>
      </c>
    </row>
    <row r="1053">
      <c r="A1053" s="18" t="n">
        <v>1052</v>
      </c>
      <c r="B1053" s="23" t="n">
        <v>40</v>
      </c>
    </row>
    <row r="1054">
      <c r="A1054" s="18" t="n">
        <v>1053</v>
      </c>
      <c r="B1054" s="23" t="n">
        <v>-920</v>
      </c>
    </row>
    <row r="1055">
      <c r="A1055" s="18" t="n">
        <v>1054</v>
      </c>
      <c r="B1055" s="23" t="n">
        <v>-520</v>
      </c>
    </row>
    <row r="1056">
      <c r="A1056" s="18" t="n">
        <v>1055</v>
      </c>
      <c r="B1056" s="23" t="n">
        <v>-240</v>
      </c>
    </row>
    <row r="1057">
      <c r="A1057" s="18" t="n">
        <v>1056</v>
      </c>
      <c r="B1057" s="23" t="n">
        <v>-600</v>
      </c>
    </row>
    <row r="1058">
      <c r="A1058" s="18" t="n">
        <v>1057</v>
      </c>
      <c r="B1058" s="23" t="n">
        <v>-760</v>
      </c>
    </row>
    <row r="1059">
      <c r="A1059" s="18" t="n">
        <v>1058</v>
      </c>
      <c r="B1059" s="23" t="n">
        <v>520</v>
      </c>
    </row>
    <row r="1060">
      <c r="A1060" s="18" t="n">
        <v>1059</v>
      </c>
      <c r="B1060" s="23" t="n">
        <v>-600</v>
      </c>
    </row>
    <row r="1061">
      <c r="A1061" s="18" t="n">
        <v>1060</v>
      </c>
      <c r="B1061" s="23" t="n">
        <v>-760</v>
      </c>
    </row>
    <row r="1062">
      <c r="A1062" s="18" t="n">
        <v>1061</v>
      </c>
      <c r="B1062" s="23" t="n">
        <v>-1120</v>
      </c>
    </row>
    <row r="1063">
      <c r="A1063" s="18" t="n">
        <v>1062</v>
      </c>
      <c r="B1063" s="23" t="n">
        <v>-640</v>
      </c>
    </row>
    <row r="1064">
      <c r="A1064" s="18" t="n">
        <v>1063</v>
      </c>
      <c r="B1064" s="23" t="n">
        <v>-520</v>
      </c>
    </row>
    <row r="1065">
      <c r="A1065" s="18" t="n">
        <v>1064</v>
      </c>
      <c r="B1065" s="23" t="n">
        <v>-920</v>
      </c>
    </row>
    <row r="1066">
      <c r="A1066" s="18" t="n">
        <v>1065</v>
      </c>
      <c r="B1066" s="23" t="n">
        <v>240</v>
      </c>
    </row>
    <row r="1067">
      <c r="A1067" s="18" t="n">
        <v>1066</v>
      </c>
      <c r="B1067" s="23" t="n">
        <v>-280</v>
      </c>
    </row>
    <row r="1068">
      <c r="A1068" s="18" t="n">
        <v>1067</v>
      </c>
      <c r="B1068" s="23" t="n">
        <v>-160</v>
      </c>
    </row>
    <row r="1069">
      <c r="A1069" s="18" t="n">
        <v>1068</v>
      </c>
      <c r="B1069" s="23" t="n">
        <v>-640</v>
      </c>
    </row>
    <row r="1070">
      <c r="A1070" s="18" t="n">
        <v>1069</v>
      </c>
      <c r="B1070" s="23" t="n">
        <v>-560</v>
      </c>
    </row>
    <row r="1071">
      <c r="A1071" s="18" t="n">
        <v>1070</v>
      </c>
      <c r="B1071" s="23" t="n">
        <v>-1320</v>
      </c>
    </row>
    <row r="1072">
      <c r="A1072" s="18" t="n">
        <v>1071</v>
      </c>
      <c r="B1072" s="23" t="n">
        <v>-1000</v>
      </c>
    </row>
    <row r="1073">
      <c r="A1073" s="18" t="n">
        <v>1072</v>
      </c>
      <c r="B1073" s="23" t="n">
        <v>-480</v>
      </c>
    </row>
    <row r="1074">
      <c r="A1074" s="18" t="n">
        <v>1073</v>
      </c>
      <c r="B1074" s="23" t="n">
        <v>-120</v>
      </c>
    </row>
    <row r="1075">
      <c r="A1075" s="18" t="n">
        <v>1074</v>
      </c>
      <c r="B1075" s="23" t="n">
        <v>-960</v>
      </c>
    </row>
    <row r="1076">
      <c r="A1076" s="18" t="n">
        <v>1075</v>
      </c>
      <c r="B1076" s="23" t="n">
        <v>-760</v>
      </c>
    </row>
    <row r="1077">
      <c r="A1077" s="18" t="n">
        <v>1076</v>
      </c>
      <c r="B1077" s="23" t="n">
        <v>-960</v>
      </c>
    </row>
    <row r="1078">
      <c r="A1078" s="18" t="n">
        <v>1077</v>
      </c>
      <c r="B1078" s="23" t="n">
        <v>-1200</v>
      </c>
    </row>
    <row r="1079">
      <c r="A1079" s="18" t="n">
        <v>1078</v>
      </c>
      <c r="B1079" s="23" t="n">
        <v>-1320</v>
      </c>
    </row>
    <row r="1080">
      <c r="A1080" s="18" t="n">
        <v>1079</v>
      </c>
      <c r="B1080" s="23" t="n">
        <v>240</v>
      </c>
    </row>
    <row r="1081">
      <c r="A1081" s="18" t="n">
        <v>1080</v>
      </c>
      <c r="B1081" s="23" t="n">
        <v>-520</v>
      </c>
    </row>
    <row r="1082">
      <c r="A1082" s="18" t="n">
        <v>1081</v>
      </c>
      <c r="B1082" s="23" t="n">
        <v>-1160</v>
      </c>
    </row>
    <row r="1083">
      <c r="A1083" s="18" t="n">
        <v>1082</v>
      </c>
      <c r="B1083" s="23" t="n">
        <v>-680</v>
      </c>
    </row>
    <row r="1084">
      <c r="A1084" s="18" t="n">
        <v>1083</v>
      </c>
      <c r="B1084" s="23" t="n">
        <v>-360</v>
      </c>
    </row>
    <row r="1085">
      <c r="A1085" s="18" t="n">
        <v>1084</v>
      </c>
      <c r="B1085" s="23" t="n">
        <v>-280</v>
      </c>
    </row>
    <row r="1086">
      <c r="A1086" s="18" t="n">
        <v>1085</v>
      </c>
      <c r="B1086" s="23" t="n">
        <v>-800</v>
      </c>
    </row>
    <row r="1087">
      <c r="A1087" s="18" t="n">
        <v>1086</v>
      </c>
      <c r="B1087" s="23" t="n">
        <v>-1160</v>
      </c>
    </row>
    <row r="1088">
      <c r="A1088" s="18" t="n">
        <v>1087</v>
      </c>
      <c r="B1088" s="23" t="n">
        <v>-880</v>
      </c>
    </row>
    <row r="1089">
      <c r="A1089" s="18" t="n">
        <v>1088</v>
      </c>
      <c r="B1089" s="23" t="n">
        <v>-120</v>
      </c>
    </row>
    <row r="1090">
      <c r="A1090" s="18" t="n">
        <v>1089</v>
      </c>
      <c r="B1090" s="23" t="n">
        <v>-80</v>
      </c>
    </row>
    <row r="1091">
      <c r="A1091" s="18" t="n">
        <v>1090</v>
      </c>
      <c r="B1091" s="23" t="n">
        <v>-920</v>
      </c>
    </row>
    <row r="1092">
      <c r="A1092" s="18" t="n">
        <v>1091</v>
      </c>
      <c r="B1092" s="23" t="n">
        <v>-480</v>
      </c>
    </row>
    <row r="1093">
      <c r="A1093" s="18" t="n">
        <v>1092</v>
      </c>
      <c r="B1093" s="23" t="n">
        <v>-1600</v>
      </c>
    </row>
    <row r="1094">
      <c r="A1094" s="18" t="n">
        <v>1093</v>
      </c>
      <c r="B1094" s="23" t="n">
        <v>-960</v>
      </c>
    </row>
    <row r="1095">
      <c r="A1095" s="18" t="n">
        <v>1094</v>
      </c>
      <c r="B1095" s="23" t="n">
        <v>-1120</v>
      </c>
    </row>
    <row r="1096">
      <c r="A1096" s="18" t="n">
        <v>1095</v>
      </c>
      <c r="B1096" s="23" t="n">
        <v>-760</v>
      </c>
    </row>
    <row r="1097">
      <c r="A1097" s="18" t="n">
        <v>1096</v>
      </c>
      <c r="B1097" s="23" t="n">
        <v>-360</v>
      </c>
    </row>
    <row r="1098">
      <c r="A1098" s="18" t="n">
        <v>1097</v>
      </c>
      <c r="B1098" s="23" t="n">
        <v>40</v>
      </c>
    </row>
    <row r="1099">
      <c r="A1099" s="18" t="n">
        <v>1098</v>
      </c>
      <c r="B1099" s="23" t="n">
        <v>-920</v>
      </c>
    </row>
    <row r="1100">
      <c r="A1100" s="18" t="n">
        <v>1099</v>
      </c>
      <c r="B1100" s="23" t="n">
        <v>-280</v>
      </c>
    </row>
    <row r="1101">
      <c r="A1101" s="18" t="n">
        <v>1100</v>
      </c>
      <c r="B1101" s="23" t="n">
        <v>-600</v>
      </c>
    </row>
    <row r="1102">
      <c r="A1102" s="18" t="n">
        <v>1101</v>
      </c>
      <c r="B1102" s="23" t="n">
        <v>-560</v>
      </c>
    </row>
    <row r="1103">
      <c r="A1103" s="18" t="n">
        <v>1102</v>
      </c>
      <c r="B1103" s="23" t="n">
        <v>-760</v>
      </c>
    </row>
    <row r="1104">
      <c r="A1104" s="18" t="n">
        <v>1103</v>
      </c>
      <c r="B1104" s="23" t="n">
        <v>-1200</v>
      </c>
    </row>
    <row r="1105">
      <c r="A1105" s="18" t="n">
        <v>1104</v>
      </c>
      <c r="B1105" s="23" t="n">
        <v>-920</v>
      </c>
    </row>
    <row r="1106">
      <c r="A1106" s="18" t="n">
        <v>1105</v>
      </c>
      <c r="B1106" s="23" t="n">
        <v>-960</v>
      </c>
    </row>
    <row r="1107">
      <c r="A1107" s="18" t="n">
        <v>1106</v>
      </c>
      <c r="B1107" s="23" t="n">
        <v>360</v>
      </c>
    </row>
    <row r="1108">
      <c r="A1108" s="18" t="n">
        <v>1107</v>
      </c>
      <c r="B1108" s="23" t="n">
        <v>-960</v>
      </c>
    </row>
    <row r="1109">
      <c r="A1109" s="18" t="n">
        <v>1108</v>
      </c>
      <c r="B1109" s="23" t="n">
        <v>160</v>
      </c>
    </row>
    <row r="1110">
      <c r="A1110" s="18" t="n">
        <v>1109</v>
      </c>
      <c r="B1110" s="23" t="n">
        <v>-600</v>
      </c>
    </row>
    <row r="1111">
      <c r="A1111" s="18" t="n">
        <v>1110</v>
      </c>
      <c r="B1111" s="23" t="n">
        <v>40</v>
      </c>
    </row>
    <row r="1112">
      <c r="A1112" s="18" t="n">
        <v>1111</v>
      </c>
      <c r="B1112" s="23" t="n">
        <v>-320</v>
      </c>
    </row>
    <row r="1113">
      <c r="A1113" s="18" t="n">
        <v>1112</v>
      </c>
      <c r="B1113" s="23" t="n">
        <v>-600</v>
      </c>
    </row>
    <row r="1114">
      <c r="A1114" s="18" t="n">
        <v>1113</v>
      </c>
      <c r="B1114" s="23" t="n">
        <v>-1080</v>
      </c>
    </row>
    <row r="1115">
      <c r="A1115" s="18" t="n">
        <v>1114</v>
      </c>
      <c r="B1115" s="23" t="n">
        <v>-400</v>
      </c>
    </row>
    <row r="1116">
      <c r="A1116" s="18" t="n">
        <v>1115</v>
      </c>
      <c r="B1116" s="23" t="n">
        <v>-1720</v>
      </c>
    </row>
    <row r="1117">
      <c r="A1117" s="18" t="n">
        <v>1116</v>
      </c>
      <c r="B1117" s="23" t="n">
        <v>-480</v>
      </c>
    </row>
    <row r="1118">
      <c r="A1118" s="18" t="n">
        <v>1117</v>
      </c>
      <c r="B1118" s="23" t="n">
        <v>-520</v>
      </c>
    </row>
    <row r="1119">
      <c r="A1119" s="18" t="n">
        <v>1118</v>
      </c>
      <c r="B1119" s="23" t="n">
        <v>-1120</v>
      </c>
    </row>
    <row r="1120">
      <c r="A1120" s="18" t="n">
        <v>1119</v>
      </c>
      <c r="B1120" s="23" t="n">
        <v>-200</v>
      </c>
    </row>
    <row r="1121">
      <c r="A1121" s="18" t="n">
        <v>1120</v>
      </c>
      <c r="B1121" s="23" t="n">
        <v>-280</v>
      </c>
    </row>
    <row r="1122">
      <c r="A1122" s="18" t="n">
        <v>1121</v>
      </c>
      <c r="B1122" s="23" t="n">
        <v>-320</v>
      </c>
    </row>
    <row r="1123">
      <c r="A1123" s="18" t="n">
        <v>1122</v>
      </c>
      <c r="B1123" s="23" t="n">
        <v>-960</v>
      </c>
    </row>
    <row r="1124">
      <c r="A1124" s="18" t="n">
        <v>1123</v>
      </c>
      <c r="B1124" s="23" t="n">
        <v>-240</v>
      </c>
    </row>
    <row r="1125">
      <c r="A1125" s="18" t="n">
        <v>1124</v>
      </c>
      <c r="B1125" s="23" t="n">
        <v>-360</v>
      </c>
    </row>
    <row r="1126">
      <c r="A1126" s="18" t="n">
        <v>1125</v>
      </c>
      <c r="B1126" s="23" t="n">
        <v>-1280</v>
      </c>
    </row>
    <row r="1127">
      <c r="A1127" s="18" t="n">
        <v>1126</v>
      </c>
      <c r="B1127" s="23" t="n">
        <v>-280</v>
      </c>
    </row>
    <row r="1128">
      <c r="A1128" s="18" t="n">
        <v>1127</v>
      </c>
      <c r="B1128" s="23" t="n">
        <v>-1680</v>
      </c>
    </row>
    <row r="1129">
      <c r="A1129" s="18" t="n">
        <v>1128</v>
      </c>
      <c r="B1129" s="23" t="n">
        <v>-520</v>
      </c>
    </row>
    <row r="1130">
      <c r="A1130" s="18" t="n">
        <v>1129</v>
      </c>
      <c r="B1130" s="23" t="n">
        <v>-1960</v>
      </c>
    </row>
    <row r="1131">
      <c r="A1131" s="18" t="n">
        <v>1130</v>
      </c>
      <c r="B1131" s="23" t="n">
        <v>-120</v>
      </c>
    </row>
    <row r="1132">
      <c r="A1132" s="18" t="n">
        <v>1131</v>
      </c>
      <c r="B1132" s="23" t="n">
        <v>-720</v>
      </c>
    </row>
    <row r="1133">
      <c r="A1133" s="18" t="n">
        <v>1132</v>
      </c>
      <c r="B1133" s="23" t="n">
        <v>200</v>
      </c>
    </row>
    <row r="1134">
      <c r="A1134" s="18" t="n">
        <v>1133</v>
      </c>
      <c r="B1134" s="23" t="n">
        <v>-400</v>
      </c>
    </row>
    <row r="1135">
      <c r="A1135" s="18" t="n">
        <v>1134</v>
      </c>
      <c r="B1135" s="23" t="n">
        <v>-1120</v>
      </c>
    </row>
    <row r="1136">
      <c r="A1136" s="18" t="n">
        <v>1135</v>
      </c>
      <c r="B1136" s="23" t="n">
        <v>-880</v>
      </c>
    </row>
    <row r="1137">
      <c r="A1137" s="18" t="n">
        <v>1136</v>
      </c>
      <c r="B1137" s="23" t="n">
        <v>-480</v>
      </c>
    </row>
    <row r="1138">
      <c r="A1138" s="18" t="n">
        <v>1137</v>
      </c>
      <c r="B1138" s="23" t="n">
        <v>-1040</v>
      </c>
    </row>
    <row r="1139">
      <c r="A1139" s="18" t="n">
        <v>1138</v>
      </c>
      <c r="B1139" s="23" t="n">
        <v>-240</v>
      </c>
    </row>
    <row r="1140">
      <c r="A1140" s="18" t="n">
        <v>1139</v>
      </c>
      <c r="B1140" s="23" t="n">
        <v>-960</v>
      </c>
    </row>
    <row r="1141">
      <c r="A1141" s="18" t="n">
        <v>1140</v>
      </c>
      <c r="B1141" s="23" t="n">
        <v>-880</v>
      </c>
    </row>
    <row r="1142">
      <c r="A1142" s="18" t="n">
        <v>1141</v>
      </c>
      <c r="B1142" s="23" t="n">
        <v>-640</v>
      </c>
    </row>
    <row r="1143">
      <c r="A1143" s="18" t="n">
        <v>1142</v>
      </c>
      <c r="B1143" s="23" t="n">
        <v>-320</v>
      </c>
    </row>
    <row r="1144">
      <c r="A1144" s="18" t="n">
        <v>1143</v>
      </c>
      <c r="B1144" s="23" t="n">
        <v>-520</v>
      </c>
    </row>
    <row r="1145">
      <c r="A1145" s="18" t="n">
        <v>1144</v>
      </c>
      <c r="B1145" s="23" t="n">
        <v>-920</v>
      </c>
    </row>
    <row r="1146">
      <c r="A1146" s="18" t="n">
        <v>1145</v>
      </c>
      <c r="B1146" s="23" t="n">
        <v>-920</v>
      </c>
    </row>
    <row r="1147">
      <c r="A1147" s="18" t="n">
        <v>1146</v>
      </c>
      <c r="B1147" s="23" t="n">
        <v>-1000</v>
      </c>
    </row>
    <row r="1148">
      <c r="A1148" s="18" t="n">
        <v>1147</v>
      </c>
      <c r="B1148" s="23" t="n">
        <v>-720</v>
      </c>
    </row>
    <row r="1149">
      <c r="A1149" s="18" t="n">
        <v>1148</v>
      </c>
      <c r="B1149" s="23" t="n">
        <v>-840</v>
      </c>
    </row>
    <row r="1150">
      <c r="A1150" s="18" t="n">
        <v>1149</v>
      </c>
      <c r="B1150" s="23" t="n">
        <v>-1000</v>
      </c>
    </row>
    <row r="1151">
      <c r="A1151" s="18" t="n">
        <v>1150</v>
      </c>
      <c r="B1151" s="23" t="n">
        <v>-640</v>
      </c>
    </row>
    <row r="1152">
      <c r="A1152" s="18" t="n">
        <v>1151</v>
      </c>
      <c r="B1152" s="23" t="n">
        <v>-600</v>
      </c>
    </row>
    <row r="1153">
      <c r="A1153" s="18" t="n">
        <v>1152</v>
      </c>
      <c r="B1153" s="23" t="n">
        <v>-1560</v>
      </c>
    </row>
    <row r="1154">
      <c r="A1154" s="18" t="n">
        <v>1153</v>
      </c>
      <c r="B1154" s="23" t="n">
        <v>-400</v>
      </c>
    </row>
    <row r="1155">
      <c r="A1155" s="18" t="n">
        <v>1154</v>
      </c>
      <c r="B1155" s="23" t="n">
        <v>-1040</v>
      </c>
    </row>
    <row r="1156">
      <c r="A1156" s="18" t="n">
        <v>1155</v>
      </c>
      <c r="B1156" s="23" t="n">
        <v>-480</v>
      </c>
    </row>
    <row r="1157">
      <c r="A1157" s="18" t="n">
        <v>1156</v>
      </c>
      <c r="B1157" s="23" t="n">
        <v>-840</v>
      </c>
    </row>
    <row r="1158">
      <c r="A1158" s="18" t="n">
        <v>1157</v>
      </c>
      <c r="B1158" s="23" t="n">
        <v>-1160</v>
      </c>
    </row>
    <row r="1159">
      <c r="A1159" s="18" t="n">
        <v>1158</v>
      </c>
      <c r="B1159" s="23" t="n">
        <v>-1120</v>
      </c>
    </row>
    <row r="1160">
      <c r="A1160" s="18" t="n">
        <v>1159</v>
      </c>
      <c r="B1160" s="23" t="n">
        <v>-480</v>
      </c>
    </row>
    <row r="1161">
      <c r="A1161" s="18" t="n">
        <v>1160</v>
      </c>
      <c r="B1161" s="23" t="n">
        <v>-1160</v>
      </c>
    </row>
    <row r="1162">
      <c r="A1162" s="18" t="n">
        <v>1161</v>
      </c>
      <c r="B1162" s="23" t="n">
        <v>-960</v>
      </c>
    </row>
    <row r="1163">
      <c r="A1163" s="18" t="n">
        <v>1162</v>
      </c>
      <c r="B1163" s="23" t="n">
        <v>-240</v>
      </c>
    </row>
    <row r="1164">
      <c r="A1164" s="18" t="n">
        <v>1163</v>
      </c>
      <c r="B1164" s="23" t="n">
        <v>-600</v>
      </c>
    </row>
    <row r="1165">
      <c r="A1165" s="18" t="n">
        <v>1164</v>
      </c>
      <c r="B1165" s="23" t="n">
        <v>-640</v>
      </c>
    </row>
    <row r="1166">
      <c r="A1166" s="18" t="n">
        <v>1165</v>
      </c>
      <c r="B1166" s="23" t="n">
        <v>-760</v>
      </c>
    </row>
    <row r="1167">
      <c r="A1167" s="18" t="n">
        <v>1166</v>
      </c>
      <c r="B1167" s="23" t="n">
        <v>160</v>
      </c>
    </row>
    <row r="1168">
      <c r="A1168" s="18" t="n">
        <v>1167</v>
      </c>
      <c r="B1168" s="23" t="n">
        <v>-1320</v>
      </c>
    </row>
    <row r="1169">
      <c r="A1169" s="18" t="n">
        <v>1168</v>
      </c>
      <c r="B1169" s="23" t="n">
        <v>-360</v>
      </c>
    </row>
    <row r="1170">
      <c r="A1170" s="18" t="n">
        <v>1169</v>
      </c>
      <c r="B1170" s="23" t="n">
        <v>-320</v>
      </c>
    </row>
    <row r="1171">
      <c r="A1171" s="18" t="n">
        <v>1170</v>
      </c>
      <c r="B1171" s="23" t="n">
        <v>-600</v>
      </c>
    </row>
    <row r="1172">
      <c r="A1172" s="18" t="n">
        <v>1171</v>
      </c>
      <c r="B1172" s="23" t="n">
        <v>-360</v>
      </c>
    </row>
    <row r="1173">
      <c r="A1173" s="18" t="n">
        <v>1172</v>
      </c>
      <c r="B1173" s="23" t="n">
        <v>-1080</v>
      </c>
    </row>
    <row r="1174">
      <c r="A1174" s="18" t="n">
        <v>1173</v>
      </c>
      <c r="B1174" s="23" t="n">
        <v>-320</v>
      </c>
    </row>
    <row r="1175">
      <c r="A1175" s="18" t="n">
        <v>1174</v>
      </c>
      <c r="B1175" s="23" t="n">
        <v>-1760</v>
      </c>
    </row>
    <row r="1176">
      <c r="A1176" s="18" t="n">
        <v>1175</v>
      </c>
      <c r="B1176" s="23" t="n">
        <v>-320</v>
      </c>
    </row>
    <row r="1177">
      <c r="A1177" s="18" t="n">
        <v>1176</v>
      </c>
      <c r="B1177" s="23" t="n">
        <v>0</v>
      </c>
    </row>
    <row r="1178">
      <c r="A1178" s="18" t="n">
        <v>1177</v>
      </c>
      <c r="B1178" s="23" t="n">
        <v>-1440</v>
      </c>
    </row>
    <row r="1179">
      <c r="A1179" s="18" t="n">
        <v>1178</v>
      </c>
      <c r="B1179" s="23" t="n">
        <v>-840</v>
      </c>
    </row>
    <row r="1180">
      <c r="A1180" s="18" t="n">
        <v>1179</v>
      </c>
      <c r="B1180" s="23" t="n">
        <v>-920</v>
      </c>
    </row>
    <row r="1181">
      <c r="A1181" s="18" t="n">
        <v>1180</v>
      </c>
      <c r="B1181" s="23" t="n">
        <v>-640</v>
      </c>
    </row>
    <row r="1182">
      <c r="A1182" s="18" t="n">
        <v>1181</v>
      </c>
      <c r="B1182" s="23" t="n">
        <v>-840</v>
      </c>
    </row>
    <row r="1183">
      <c r="A1183" s="18" t="n">
        <v>1182</v>
      </c>
      <c r="B1183" s="23" t="n">
        <v>-880</v>
      </c>
    </row>
    <row r="1184">
      <c r="A1184" s="18" t="n">
        <v>1183</v>
      </c>
      <c r="B1184" s="23" t="n">
        <v>-1320</v>
      </c>
    </row>
    <row r="1185">
      <c r="A1185" s="18" t="n">
        <v>1184</v>
      </c>
      <c r="B1185" s="23" t="n">
        <v>-520</v>
      </c>
    </row>
    <row r="1186">
      <c r="A1186" s="18" t="n">
        <v>1185</v>
      </c>
      <c r="B1186" s="23" t="n">
        <v>-480</v>
      </c>
    </row>
    <row r="1187">
      <c r="A1187" s="18" t="n">
        <v>1186</v>
      </c>
      <c r="B1187" s="23" t="n">
        <v>-960</v>
      </c>
    </row>
    <row r="1188">
      <c r="A1188" s="18" t="n">
        <v>1187</v>
      </c>
      <c r="B1188" s="23" t="n">
        <v>-800</v>
      </c>
    </row>
    <row r="1189">
      <c r="A1189" s="18" t="n">
        <v>1188</v>
      </c>
      <c r="B1189" s="23" t="n">
        <v>-400</v>
      </c>
    </row>
    <row r="1190">
      <c r="A1190" s="18" t="n">
        <v>1189</v>
      </c>
      <c r="B1190" s="23" t="n">
        <v>-280</v>
      </c>
    </row>
    <row r="1191">
      <c r="A1191" s="18" t="n">
        <v>1190</v>
      </c>
      <c r="B1191" s="23" t="n">
        <v>-920</v>
      </c>
    </row>
    <row r="1192">
      <c r="A1192" s="18" t="n">
        <v>1191</v>
      </c>
      <c r="B1192" s="23" t="n">
        <v>-440</v>
      </c>
    </row>
    <row r="1193">
      <c r="A1193" s="18" t="n">
        <v>1192</v>
      </c>
      <c r="B1193" s="23" t="n">
        <v>-440</v>
      </c>
    </row>
    <row r="1194">
      <c r="A1194" s="18" t="n">
        <v>1193</v>
      </c>
      <c r="B1194" s="23" t="n">
        <v>-800</v>
      </c>
    </row>
    <row r="1195">
      <c r="A1195" s="18" t="n">
        <v>1194</v>
      </c>
      <c r="B1195" s="23" t="n">
        <v>-440</v>
      </c>
    </row>
    <row r="1196">
      <c r="A1196" s="18" t="n">
        <v>1195</v>
      </c>
      <c r="B1196" s="23" t="n">
        <v>-440</v>
      </c>
    </row>
    <row r="1197">
      <c r="A1197" s="18" t="n">
        <v>1196</v>
      </c>
      <c r="B1197" s="23" t="n">
        <v>-400</v>
      </c>
    </row>
    <row r="1198">
      <c r="A1198" s="18" t="n">
        <v>1197</v>
      </c>
      <c r="B1198" s="23" t="n">
        <v>-1000</v>
      </c>
    </row>
    <row r="1199">
      <c r="A1199" s="18" t="n">
        <v>1198</v>
      </c>
      <c r="B1199" s="23" t="n">
        <v>-1000</v>
      </c>
    </row>
    <row r="1200">
      <c r="A1200" s="18" t="n">
        <v>1199</v>
      </c>
      <c r="B1200" s="23" t="n">
        <v>-560</v>
      </c>
    </row>
    <row r="1201">
      <c r="A1201" s="18" t="n">
        <v>1200</v>
      </c>
      <c r="B1201" s="23" t="n">
        <v>-560</v>
      </c>
    </row>
    <row r="1202">
      <c r="A1202" s="18" t="n">
        <v>1201</v>
      </c>
      <c r="B1202" s="23" t="n">
        <v>-560</v>
      </c>
    </row>
    <row r="1203">
      <c r="A1203" s="18" t="n">
        <v>1202</v>
      </c>
      <c r="B1203" s="23" t="n">
        <v>440</v>
      </c>
    </row>
    <row r="1204">
      <c r="A1204" s="18" t="n">
        <v>1203</v>
      </c>
      <c r="B1204" s="23" t="n">
        <v>0</v>
      </c>
    </row>
    <row r="1205">
      <c r="A1205" s="18" t="n">
        <v>1204</v>
      </c>
      <c r="B1205" s="23" t="n">
        <v>-840</v>
      </c>
    </row>
    <row r="1206">
      <c r="A1206" s="18" t="n">
        <v>1205</v>
      </c>
      <c r="B1206" s="23" t="n">
        <v>-720</v>
      </c>
    </row>
    <row r="1207">
      <c r="A1207" s="18" t="n">
        <v>1206</v>
      </c>
      <c r="B1207" s="23" t="n">
        <v>-480</v>
      </c>
    </row>
    <row r="1208">
      <c r="A1208" s="18" t="n">
        <v>1207</v>
      </c>
      <c r="B1208" s="23" t="n">
        <v>-480</v>
      </c>
    </row>
    <row r="1209">
      <c r="A1209" s="18" t="n">
        <v>1208</v>
      </c>
      <c r="B1209" s="23" t="n">
        <v>-880</v>
      </c>
    </row>
    <row r="1210">
      <c r="A1210" s="18" t="n">
        <v>1209</v>
      </c>
      <c r="B1210" s="23" t="n">
        <v>-640</v>
      </c>
    </row>
    <row r="1211">
      <c r="A1211" s="18" t="n">
        <v>1210</v>
      </c>
      <c r="B1211" s="23" t="n">
        <v>-880</v>
      </c>
    </row>
    <row r="1212">
      <c r="A1212" s="18" t="n">
        <v>1211</v>
      </c>
      <c r="B1212" s="23" t="n">
        <v>-1080</v>
      </c>
    </row>
    <row r="1213">
      <c r="A1213" s="18" t="n">
        <v>1212</v>
      </c>
      <c r="B1213" s="23" t="n">
        <v>-1640</v>
      </c>
    </row>
    <row r="1214">
      <c r="A1214" s="18" t="n">
        <v>1213</v>
      </c>
      <c r="B1214" s="23" t="n">
        <v>-760</v>
      </c>
    </row>
    <row r="1215">
      <c r="A1215" s="18" t="n">
        <v>1214</v>
      </c>
      <c r="B1215" s="23" t="n">
        <v>-40</v>
      </c>
    </row>
    <row r="1216">
      <c r="A1216" s="18" t="n">
        <v>1215</v>
      </c>
      <c r="B1216" s="23" t="n">
        <v>-800</v>
      </c>
    </row>
    <row r="1217">
      <c r="A1217" s="18" t="n">
        <v>1216</v>
      </c>
      <c r="B1217" s="23" t="n">
        <v>-600</v>
      </c>
    </row>
    <row r="1218">
      <c r="A1218" s="18" t="n">
        <v>1217</v>
      </c>
      <c r="B1218" s="23" t="n">
        <v>-1640</v>
      </c>
    </row>
    <row r="1219">
      <c r="A1219" s="18" t="n">
        <v>1218</v>
      </c>
      <c r="B1219" s="23" t="n">
        <v>-520</v>
      </c>
    </row>
    <row r="1220">
      <c r="A1220" s="18" t="n">
        <v>1219</v>
      </c>
      <c r="B1220" s="23" t="n">
        <v>-320</v>
      </c>
    </row>
    <row r="1221">
      <c r="A1221" s="18" t="n">
        <v>1220</v>
      </c>
      <c r="B1221" s="23" t="n">
        <v>-1360</v>
      </c>
    </row>
    <row r="1222">
      <c r="A1222" s="18" t="n">
        <v>1221</v>
      </c>
      <c r="B1222" s="23" t="n">
        <v>-1560</v>
      </c>
    </row>
    <row r="1223">
      <c r="A1223" s="18" t="n">
        <v>1222</v>
      </c>
      <c r="B1223" s="23" t="n">
        <v>-840</v>
      </c>
    </row>
    <row r="1224">
      <c r="A1224" s="18" t="n">
        <v>1223</v>
      </c>
      <c r="B1224" s="23" t="n">
        <v>200</v>
      </c>
    </row>
    <row r="1225">
      <c r="A1225" s="18" t="n">
        <v>1224</v>
      </c>
      <c r="B1225" s="23" t="n">
        <v>-800</v>
      </c>
    </row>
    <row r="1226">
      <c r="A1226" s="18" t="n">
        <v>1225</v>
      </c>
      <c r="B1226" s="23" t="n">
        <v>-160</v>
      </c>
    </row>
    <row r="1227">
      <c r="A1227" s="18" t="n">
        <v>1226</v>
      </c>
      <c r="B1227" s="23" t="n">
        <v>-1040</v>
      </c>
    </row>
    <row r="1228">
      <c r="A1228" s="18" t="n">
        <v>1227</v>
      </c>
      <c r="B1228" s="23" t="n">
        <v>-1120</v>
      </c>
    </row>
    <row r="1229">
      <c r="A1229" s="18" t="n">
        <v>1228</v>
      </c>
      <c r="B1229" s="23" t="n">
        <v>-600</v>
      </c>
    </row>
    <row r="1230">
      <c r="A1230" s="18" t="n">
        <v>1229</v>
      </c>
      <c r="B1230" s="23" t="n">
        <v>-440</v>
      </c>
    </row>
    <row r="1231">
      <c r="A1231" s="18" t="n">
        <v>1230</v>
      </c>
      <c r="B1231" s="23" t="n">
        <v>-1720</v>
      </c>
    </row>
    <row r="1232">
      <c r="A1232" s="18" t="n">
        <v>1231</v>
      </c>
      <c r="B1232" s="23" t="n">
        <v>-1480</v>
      </c>
    </row>
    <row r="1233">
      <c r="A1233" s="18" t="n">
        <v>1232</v>
      </c>
      <c r="B1233" s="23" t="n">
        <v>-1040</v>
      </c>
    </row>
    <row r="1234">
      <c r="A1234" s="18" t="n">
        <v>1233</v>
      </c>
      <c r="B1234" s="23" t="n">
        <v>-800</v>
      </c>
    </row>
    <row r="1235">
      <c r="A1235" s="18" t="n">
        <v>1234</v>
      </c>
      <c r="B1235" s="23" t="n">
        <v>-640</v>
      </c>
    </row>
    <row r="1236">
      <c r="A1236" s="18" t="n">
        <v>1235</v>
      </c>
      <c r="B1236" s="23" t="n">
        <v>-1520</v>
      </c>
    </row>
    <row r="1237">
      <c r="A1237" s="18" t="n">
        <v>1236</v>
      </c>
      <c r="B1237" s="23" t="n">
        <v>-920</v>
      </c>
    </row>
    <row r="1238">
      <c r="A1238" s="18" t="n">
        <v>1237</v>
      </c>
      <c r="B1238" s="23" t="n">
        <v>-720</v>
      </c>
    </row>
    <row r="1239">
      <c r="A1239" s="18" t="n">
        <v>1238</v>
      </c>
      <c r="B1239" s="23" t="n">
        <v>-240</v>
      </c>
    </row>
    <row r="1240">
      <c r="A1240" s="18" t="n">
        <v>1239</v>
      </c>
      <c r="B1240" s="23" t="n">
        <v>-600</v>
      </c>
    </row>
    <row r="1241">
      <c r="A1241" s="18" t="n">
        <v>1240</v>
      </c>
      <c r="B1241" s="23" t="n">
        <v>-1640</v>
      </c>
    </row>
    <row r="1242">
      <c r="A1242" s="18" t="n">
        <v>1241</v>
      </c>
      <c r="B1242" s="23" t="n">
        <v>-1000</v>
      </c>
    </row>
    <row r="1243">
      <c r="A1243" s="18" t="n">
        <v>1242</v>
      </c>
      <c r="B1243" s="23" t="n">
        <v>-800</v>
      </c>
    </row>
    <row r="1244">
      <c r="A1244" s="18" t="n">
        <v>1243</v>
      </c>
      <c r="B1244" s="23" t="n">
        <v>-200</v>
      </c>
    </row>
    <row r="1245">
      <c r="A1245" s="18" t="n">
        <v>1244</v>
      </c>
      <c r="B1245" s="23" t="n">
        <v>-120</v>
      </c>
    </row>
    <row r="1246">
      <c r="A1246" s="18" t="n">
        <v>1245</v>
      </c>
      <c r="B1246" s="23" t="n">
        <v>-760</v>
      </c>
    </row>
    <row r="1247">
      <c r="A1247" s="18" t="n">
        <v>1246</v>
      </c>
      <c r="B1247" s="23" t="n">
        <v>-480</v>
      </c>
    </row>
    <row r="1248">
      <c r="A1248" s="18" t="n">
        <v>1247</v>
      </c>
      <c r="B1248" s="23" t="n">
        <v>-720</v>
      </c>
    </row>
    <row r="1249">
      <c r="A1249" s="18" t="n">
        <v>1248</v>
      </c>
      <c r="B1249" s="23" t="n">
        <v>-320</v>
      </c>
    </row>
    <row r="1250">
      <c r="A1250" s="18" t="n">
        <v>1249</v>
      </c>
      <c r="B1250" s="23" t="n">
        <v>-40</v>
      </c>
    </row>
    <row r="1251">
      <c r="A1251" s="18" t="n">
        <v>1250</v>
      </c>
      <c r="B1251" s="23" t="n">
        <v>-480</v>
      </c>
    </row>
    <row r="1252">
      <c r="A1252" s="18" t="n">
        <v>1251</v>
      </c>
      <c r="B1252" s="23" t="n">
        <v>-1440</v>
      </c>
    </row>
    <row r="1253">
      <c r="A1253" s="18" t="n">
        <v>1252</v>
      </c>
      <c r="B1253" s="23" t="n">
        <v>-840</v>
      </c>
    </row>
    <row r="1254">
      <c r="A1254" s="18" t="n">
        <v>1253</v>
      </c>
      <c r="B1254" s="23" t="n">
        <v>-1240</v>
      </c>
    </row>
    <row r="1255">
      <c r="A1255" s="18" t="n">
        <v>1254</v>
      </c>
      <c r="B1255" s="23" t="n">
        <v>-1080</v>
      </c>
    </row>
    <row r="1256">
      <c r="A1256" s="18" t="n">
        <v>1255</v>
      </c>
      <c r="B1256" s="23" t="n">
        <v>-400</v>
      </c>
    </row>
    <row r="1257">
      <c r="A1257" s="18" t="n">
        <v>1256</v>
      </c>
      <c r="B1257" s="23" t="n">
        <v>-1080</v>
      </c>
    </row>
    <row r="1258">
      <c r="A1258" s="18" t="n">
        <v>1257</v>
      </c>
      <c r="B1258" s="23" t="n">
        <v>-120</v>
      </c>
    </row>
    <row r="1259">
      <c r="A1259" s="18" t="n">
        <v>1258</v>
      </c>
      <c r="B1259" s="23" t="n">
        <v>-560</v>
      </c>
    </row>
    <row r="1260">
      <c r="A1260" s="18" t="n">
        <v>1259</v>
      </c>
      <c r="B1260" s="23" t="n">
        <v>-280</v>
      </c>
    </row>
    <row r="1261">
      <c r="A1261" s="18" t="n">
        <v>1260</v>
      </c>
      <c r="B1261" s="23" t="n">
        <v>-520</v>
      </c>
    </row>
    <row r="1262">
      <c r="A1262" s="18" t="n">
        <v>1261</v>
      </c>
      <c r="B1262" s="23" t="n">
        <v>-960</v>
      </c>
    </row>
    <row r="1263">
      <c r="A1263" s="18" t="n">
        <v>1262</v>
      </c>
      <c r="B1263" s="23" t="n">
        <v>-160</v>
      </c>
    </row>
    <row r="1264">
      <c r="A1264" s="18" t="n">
        <v>1263</v>
      </c>
      <c r="B1264" s="23" t="n">
        <v>-400</v>
      </c>
    </row>
    <row r="1265">
      <c r="A1265" s="18" t="n">
        <v>1264</v>
      </c>
      <c r="B1265" s="23" t="n">
        <v>-800</v>
      </c>
    </row>
    <row r="1266">
      <c r="A1266" s="18" t="n">
        <v>1265</v>
      </c>
      <c r="B1266" s="23" t="n">
        <v>-720</v>
      </c>
    </row>
    <row r="1267">
      <c r="A1267" s="18" t="n">
        <v>1266</v>
      </c>
      <c r="B1267" s="23" t="n">
        <v>-1200</v>
      </c>
    </row>
    <row r="1268">
      <c r="A1268" s="18" t="n">
        <v>1267</v>
      </c>
      <c r="B1268" s="23" t="n">
        <v>-400</v>
      </c>
    </row>
    <row r="1269">
      <c r="A1269" s="18" t="n">
        <v>1268</v>
      </c>
      <c r="B1269" s="23" t="n">
        <v>-640</v>
      </c>
    </row>
    <row r="1270">
      <c r="A1270" s="18" t="n">
        <v>1269</v>
      </c>
      <c r="B1270" s="23" t="n">
        <v>-520</v>
      </c>
    </row>
    <row r="1271">
      <c r="A1271" s="18" t="n">
        <v>1270</v>
      </c>
      <c r="B1271" s="23" t="n">
        <v>-400</v>
      </c>
    </row>
    <row r="1272">
      <c r="A1272" s="18" t="n">
        <v>1271</v>
      </c>
      <c r="B1272" s="23" t="n">
        <v>-960</v>
      </c>
    </row>
    <row r="1273">
      <c r="A1273" s="18" t="n">
        <v>1272</v>
      </c>
      <c r="B1273" s="23" t="n">
        <v>-1000</v>
      </c>
    </row>
    <row r="1274">
      <c r="A1274" s="18" t="n">
        <v>1273</v>
      </c>
      <c r="B1274" s="23" t="n">
        <v>-480</v>
      </c>
    </row>
    <row r="1275">
      <c r="A1275" s="18" t="n">
        <v>1274</v>
      </c>
      <c r="B1275" s="23" t="n">
        <v>-560</v>
      </c>
    </row>
    <row r="1276">
      <c r="A1276" s="18" t="n">
        <v>1275</v>
      </c>
      <c r="B1276" s="23" t="n">
        <v>-960</v>
      </c>
    </row>
    <row r="1277">
      <c r="A1277" s="18" t="n">
        <v>1276</v>
      </c>
      <c r="B1277" s="23" t="n">
        <v>-200</v>
      </c>
    </row>
    <row r="1278">
      <c r="A1278" s="18" t="n">
        <v>1277</v>
      </c>
      <c r="B1278" s="23" t="n">
        <v>-240</v>
      </c>
    </row>
    <row r="1279">
      <c r="A1279" s="18" t="n">
        <v>1278</v>
      </c>
      <c r="B1279" s="23" t="n">
        <v>-200</v>
      </c>
    </row>
    <row r="1280">
      <c r="A1280" s="18" t="n">
        <v>1279</v>
      </c>
      <c r="B1280" s="23" t="n">
        <v>-440</v>
      </c>
    </row>
    <row r="1281">
      <c r="A1281" s="18" t="n">
        <v>1280</v>
      </c>
      <c r="B1281" s="23" t="n">
        <v>-1080</v>
      </c>
    </row>
    <row r="1282">
      <c r="A1282" s="18" t="n">
        <v>1281</v>
      </c>
      <c r="B1282" s="23" t="n">
        <v>-880</v>
      </c>
    </row>
    <row r="1283">
      <c r="A1283" s="18" t="n">
        <v>1282</v>
      </c>
      <c r="B1283" s="23" t="n">
        <v>-1240</v>
      </c>
    </row>
    <row r="1284">
      <c r="A1284" s="18" t="n">
        <v>1283</v>
      </c>
      <c r="B1284" s="23" t="n">
        <v>-1360</v>
      </c>
    </row>
    <row r="1285">
      <c r="A1285" s="18" t="n">
        <v>1284</v>
      </c>
      <c r="B1285" s="23" t="n">
        <v>-840</v>
      </c>
    </row>
    <row r="1286">
      <c r="A1286" s="18" t="n">
        <v>1285</v>
      </c>
      <c r="B1286" s="23" t="n">
        <v>-640</v>
      </c>
    </row>
    <row r="1287">
      <c r="A1287" s="18" t="n">
        <v>1286</v>
      </c>
      <c r="B1287" s="23" t="n">
        <v>-1040</v>
      </c>
    </row>
    <row r="1288">
      <c r="A1288" s="18" t="n">
        <v>1287</v>
      </c>
      <c r="B1288" s="23" t="n">
        <v>-760</v>
      </c>
    </row>
    <row r="1289">
      <c r="A1289" s="18" t="n">
        <v>1288</v>
      </c>
      <c r="B1289" s="23" t="n">
        <v>-480</v>
      </c>
    </row>
    <row r="1290">
      <c r="A1290" s="18" t="n">
        <v>1289</v>
      </c>
      <c r="B1290" s="23" t="n">
        <v>160</v>
      </c>
    </row>
    <row r="1291">
      <c r="A1291" s="18" t="n">
        <v>1290</v>
      </c>
      <c r="B1291" s="23" t="n">
        <v>-680</v>
      </c>
    </row>
    <row r="1292">
      <c r="A1292" s="18" t="n">
        <v>1291</v>
      </c>
      <c r="B1292" s="23" t="n">
        <v>-40</v>
      </c>
    </row>
    <row r="1293">
      <c r="A1293" s="18" t="n">
        <v>1292</v>
      </c>
      <c r="B1293" s="23" t="n">
        <v>-960</v>
      </c>
    </row>
    <row r="1294">
      <c r="A1294" s="18" t="n">
        <v>1293</v>
      </c>
      <c r="B1294" s="23" t="n">
        <v>840</v>
      </c>
    </row>
    <row r="1295">
      <c r="A1295" s="18" t="n">
        <v>1294</v>
      </c>
      <c r="B1295" s="23" t="n">
        <v>-440</v>
      </c>
    </row>
    <row r="1296">
      <c r="A1296" s="18" t="n">
        <v>1295</v>
      </c>
      <c r="B1296" s="23" t="n">
        <v>-1600</v>
      </c>
    </row>
    <row r="1297">
      <c r="A1297" s="18" t="n">
        <v>1296</v>
      </c>
      <c r="B1297" s="23" t="n">
        <v>-960</v>
      </c>
    </row>
    <row r="1298">
      <c r="A1298" s="18" t="n">
        <v>1297</v>
      </c>
      <c r="B1298" s="23" t="n">
        <v>-1280</v>
      </c>
    </row>
    <row r="1299">
      <c r="A1299" s="18" t="n">
        <v>1298</v>
      </c>
      <c r="B1299" s="23" t="n">
        <v>-160</v>
      </c>
    </row>
    <row r="1300">
      <c r="A1300" s="18" t="n">
        <v>1299</v>
      </c>
      <c r="B1300" s="23" t="n">
        <v>-480</v>
      </c>
    </row>
    <row r="1301">
      <c r="A1301" s="18" t="n">
        <v>1300</v>
      </c>
      <c r="B1301" s="23" t="n">
        <v>-280</v>
      </c>
    </row>
    <row r="1302">
      <c r="A1302" s="18" t="n">
        <v>1301</v>
      </c>
      <c r="B1302" s="23" t="n">
        <v>-960</v>
      </c>
    </row>
    <row r="1303">
      <c r="A1303" s="18" t="n">
        <v>1302</v>
      </c>
      <c r="B1303" s="23" t="n">
        <v>-360</v>
      </c>
    </row>
    <row r="1304">
      <c r="A1304" s="18" t="n">
        <v>1303</v>
      </c>
      <c r="B1304" s="23" t="n">
        <v>-640</v>
      </c>
    </row>
    <row r="1305">
      <c r="A1305" s="18" t="n">
        <v>1304</v>
      </c>
      <c r="B1305" s="23" t="n">
        <v>-1400</v>
      </c>
    </row>
    <row r="1306">
      <c r="A1306" s="18" t="n">
        <v>1305</v>
      </c>
      <c r="B1306" s="23" t="n">
        <v>-800</v>
      </c>
    </row>
    <row r="1307">
      <c r="A1307" s="18" t="n">
        <v>1306</v>
      </c>
      <c r="B1307" s="23" t="n">
        <v>-440</v>
      </c>
    </row>
    <row r="1308">
      <c r="A1308" s="18" t="n">
        <v>1307</v>
      </c>
      <c r="B1308" s="23" t="n">
        <v>480</v>
      </c>
    </row>
    <row r="1309">
      <c r="A1309" s="18" t="n">
        <v>1308</v>
      </c>
      <c r="B1309" s="23" t="n">
        <v>-840</v>
      </c>
    </row>
    <row r="1310">
      <c r="A1310" s="18" t="n">
        <v>1309</v>
      </c>
      <c r="B1310" s="23" t="n">
        <v>-360</v>
      </c>
    </row>
    <row r="1311">
      <c r="A1311" s="18" t="n">
        <v>1310</v>
      </c>
      <c r="B1311" s="23" t="n">
        <v>0</v>
      </c>
    </row>
    <row r="1312">
      <c r="A1312" s="18" t="n">
        <v>1311</v>
      </c>
      <c r="B1312" s="23" t="n">
        <v>-400</v>
      </c>
    </row>
    <row r="1313">
      <c r="A1313" s="18" t="n">
        <v>1312</v>
      </c>
      <c r="B1313" s="23" t="n">
        <v>-560</v>
      </c>
    </row>
    <row r="1314">
      <c r="A1314" s="18" t="n">
        <v>1313</v>
      </c>
      <c r="B1314" s="23" t="n">
        <v>-200</v>
      </c>
    </row>
    <row r="1315">
      <c r="A1315" s="18" t="n">
        <v>1314</v>
      </c>
      <c r="B1315" s="23" t="n">
        <v>-920</v>
      </c>
    </row>
    <row r="1316">
      <c r="A1316" s="18" t="n">
        <v>1315</v>
      </c>
      <c r="B1316" s="23" t="n">
        <v>-960</v>
      </c>
    </row>
    <row r="1317">
      <c r="A1317" s="18" t="n">
        <v>1316</v>
      </c>
      <c r="B1317" s="23" t="n">
        <v>-1160</v>
      </c>
    </row>
    <row r="1318">
      <c r="A1318" s="18" t="n">
        <v>1317</v>
      </c>
      <c r="B1318" s="23" t="n">
        <v>-440</v>
      </c>
    </row>
    <row r="1319">
      <c r="A1319" s="18" t="n">
        <v>1318</v>
      </c>
      <c r="B1319" s="23" t="n">
        <v>-880</v>
      </c>
    </row>
    <row r="1320">
      <c r="A1320" s="18" t="n">
        <v>1319</v>
      </c>
      <c r="B1320" s="23" t="n">
        <v>-1360</v>
      </c>
    </row>
    <row r="1321">
      <c r="A1321" s="18" t="n">
        <v>1320</v>
      </c>
      <c r="B1321" s="23" t="n">
        <v>-680</v>
      </c>
    </row>
    <row r="1322">
      <c r="A1322" s="18" t="n">
        <v>1321</v>
      </c>
      <c r="B1322" s="23" t="n">
        <v>-880</v>
      </c>
    </row>
    <row r="1323">
      <c r="A1323" s="18" t="n">
        <v>1322</v>
      </c>
      <c r="B1323" s="23" t="n">
        <v>-480</v>
      </c>
    </row>
    <row r="1324">
      <c r="A1324" s="18" t="n">
        <v>1323</v>
      </c>
      <c r="B1324" s="23" t="n">
        <v>-1000</v>
      </c>
    </row>
    <row r="1325">
      <c r="A1325" s="18" t="n">
        <v>1324</v>
      </c>
      <c r="B1325" s="23" t="n">
        <v>-40</v>
      </c>
    </row>
    <row r="1326">
      <c r="A1326" s="18" t="n">
        <v>1325</v>
      </c>
      <c r="B1326" s="23" t="n">
        <v>-280</v>
      </c>
    </row>
    <row r="1327">
      <c r="A1327" s="18" t="n">
        <v>1326</v>
      </c>
      <c r="B1327" s="23" t="n">
        <v>-400</v>
      </c>
    </row>
    <row r="1328">
      <c r="A1328" s="18" t="n">
        <v>1327</v>
      </c>
      <c r="B1328" s="23" t="n">
        <v>-680</v>
      </c>
    </row>
    <row r="1329">
      <c r="A1329" s="18" t="n">
        <v>1328</v>
      </c>
      <c r="B1329" s="23" t="n">
        <v>-720</v>
      </c>
    </row>
    <row r="1330">
      <c r="A1330" s="18" t="n">
        <v>1329</v>
      </c>
      <c r="B1330" s="23" t="n">
        <v>-1160</v>
      </c>
    </row>
    <row r="1331">
      <c r="A1331" s="18" t="n">
        <v>1330</v>
      </c>
      <c r="B1331" s="23" t="n">
        <v>40</v>
      </c>
    </row>
    <row r="1332">
      <c r="A1332" s="18" t="n">
        <v>1331</v>
      </c>
      <c r="B1332" s="23" t="n">
        <v>-600</v>
      </c>
    </row>
    <row r="1333">
      <c r="A1333" s="18" t="n">
        <v>1332</v>
      </c>
      <c r="B1333" s="23" t="n">
        <v>-1120</v>
      </c>
    </row>
    <row r="1334">
      <c r="A1334" s="18" t="n">
        <v>1333</v>
      </c>
      <c r="B1334" s="23" t="n">
        <v>-600</v>
      </c>
    </row>
    <row r="1335">
      <c r="A1335" s="18" t="n">
        <v>1334</v>
      </c>
      <c r="B1335" s="23" t="n">
        <v>-560</v>
      </c>
    </row>
    <row r="1336">
      <c r="A1336" s="18" t="n">
        <v>1335</v>
      </c>
      <c r="B1336" s="23" t="n">
        <v>-120</v>
      </c>
    </row>
    <row r="1337">
      <c r="A1337" s="18" t="n">
        <v>1336</v>
      </c>
      <c r="B1337" s="23" t="n">
        <v>-720</v>
      </c>
    </row>
    <row r="1338">
      <c r="A1338" s="18" t="n">
        <v>1337</v>
      </c>
      <c r="B1338" s="23" t="n">
        <v>-800</v>
      </c>
    </row>
    <row r="1339">
      <c r="A1339" s="18" t="n">
        <v>1338</v>
      </c>
      <c r="B1339" s="23" t="n">
        <v>-1000</v>
      </c>
    </row>
    <row r="1340">
      <c r="A1340" s="18" t="n">
        <v>1339</v>
      </c>
      <c r="B1340" s="23" t="n">
        <v>-1160</v>
      </c>
    </row>
    <row r="1341">
      <c r="A1341" s="18" t="n">
        <v>1340</v>
      </c>
      <c r="B1341" s="23" t="n">
        <v>40</v>
      </c>
    </row>
    <row r="1342">
      <c r="A1342" s="18" t="n">
        <v>1341</v>
      </c>
      <c r="B1342" s="23" t="n">
        <v>-480</v>
      </c>
    </row>
    <row r="1343">
      <c r="A1343" s="18" t="n">
        <v>1342</v>
      </c>
      <c r="B1343" s="23" t="n">
        <v>-600</v>
      </c>
    </row>
    <row r="1344">
      <c r="A1344" s="18" t="n">
        <v>1343</v>
      </c>
      <c r="B1344" s="23" t="n">
        <v>-80</v>
      </c>
    </row>
    <row r="1345">
      <c r="A1345" s="18" t="n">
        <v>1344</v>
      </c>
      <c r="B1345" s="23" t="n">
        <v>-720</v>
      </c>
    </row>
    <row r="1346">
      <c r="A1346" s="18" t="n">
        <v>1345</v>
      </c>
      <c r="B1346" s="23" t="n">
        <v>-200</v>
      </c>
    </row>
    <row r="1347">
      <c r="A1347" s="18" t="n">
        <v>1346</v>
      </c>
      <c r="B1347" s="23" t="n">
        <v>-840</v>
      </c>
    </row>
    <row r="1348">
      <c r="A1348" s="18" t="n">
        <v>1347</v>
      </c>
      <c r="B1348" s="23" t="n">
        <v>-640</v>
      </c>
    </row>
    <row r="1349">
      <c r="A1349" s="18" t="n">
        <v>1348</v>
      </c>
      <c r="B1349" s="23" t="n">
        <v>-1280</v>
      </c>
    </row>
    <row r="1350">
      <c r="A1350" s="18" t="n">
        <v>1349</v>
      </c>
      <c r="B1350" s="23" t="n">
        <v>-240</v>
      </c>
    </row>
    <row r="1351">
      <c r="A1351" s="18" t="n">
        <v>1350</v>
      </c>
      <c r="B1351" s="23" t="n">
        <v>-80</v>
      </c>
    </row>
    <row r="1352">
      <c r="A1352" s="18" t="n">
        <v>1351</v>
      </c>
      <c r="B1352" s="23" t="n">
        <v>-920</v>
      </c>
    </row>
    <row r="1353">
      <c r="A1353" s="18" t="n">
        <v>1352</v>
      </c>
      <c r="B1353" s="23" t="n">
        <v>-1120</v>
      </c>
    </row>
    <row r="1354">
      <c r="A1354" s="18" t="n">
        <v>1353</v>
      </c>
      <c r="B1354" s="23" t="n">
        <v>-920</v>
      </c>
    </row>
    <row r="1355">
      <c r="A1355" s="18" t="n">
        <v>1354</v>
      </c>
      <c r="B1355" s="23" t="n">
        <v>-1400</v>
      </c>
    </row>
    <row r="1356">
      <c r="A1356" s="18" t="n">
        <v>1355</v>
      </c>
      <c r="B1356" s="23" t="n">
        <v>-480</v>
      </c>
    </row>
    <row r="1357">
      <c r="A1357" s="18" t="n">
        <v>1356</v>
      </c>
      <c r="B1357" s="23" t="n">
        <v>-680</v>
      </c>
    </row>
    <row r="1358">
      <c r="A1358" s="18" t="n">
        <v>1357</v>
      </c>
      <c r="B1358" s="23" t="n">
        <v>-880</v>
      </c>
    </row>
    <row r="1359">
      <c r="A1359" s="18" t="n">
        <v>1358</v>
      </c>
      <c r="B1359" s="23" t="n">
        <v>-80</v>
      </c>
    </row>
    <row r="1360">
      <c r="A1360" s="18" t="n">
        <v>1359</v>
      </c>
      <c r="B1360" s="23" t="n">
        <v>-520</v>
      </c>
    </row>
    <row r="1361">
      <c r="A1361" s="18" t="n">
        <v>1360</v>
      </c>
      <c r="B1361" s="23" t="n">
        <v>-920</v>
      </c>
    </row>
    <row r="1362">
      <c r="A1362" s="18" t="n">
        <v>1361</v>
      </c>
      <c r="B1362" s="23" t="n">
        <v>-360</v>
      </c>
    </row>
    <row r="1363">
      <c r="A1363" s="18" t="n">
        <v>1362</v>
      </c>
      <c r="B1363" s="23" t="n">
        <v>-240</v>
      </c>
    </row>
    <row r="1364">
      <c r="A1364" s="18" t="n">
        <v>1363</v>
      </c>
      <c r="B1364" s="23" t="n">
        <v>-360</v>
      </c>
    </row>
    <row r="1365">
      <c r="A1365" s="18" t="n">
        <v>1364</v>
      </c>
      <c r="B1365" s="23" t="n">
        <v>360</v>
      </c>
    </row>
    <row r="1366">
      <c r="A1366" s="18" t="n">
        <v>1365</v>
      </c>
      <c r="B1366" s="23" t="n">
        <v>-360</v>
      </c>
    </row>
    <row r="1367">
      <c r="A1367" s="18" t="n">
        <v>1366</v>
      </c>
      <c r="B1367" s="23" t="n">
        <v>-640</v>
      </c>
    </row>
    <row r="1368">
      <c r="A1368" s="18" t="n">
        <v>1367</v>
      </c>
      <c r="B1368" s="23" t="n">
        <v>-880</v>
      </c>
    </row>
    <row r="1369">
      <c r="A1369" s="18" t="n">
        <v>1368</v>
      </c>
      <c r="B1369" s="23" t="n">
        <v>-920</v>
      </c>
    </row>
    <row r="1370">
      <c r="A1370" s="18" t="n">
        <v>1369</v>
      </c>
      <c r="B1370" s="23" t="n">
        <v>-720</v>
      </c>
    </row>
    <row r="1371">
      <c r="A1371" s="18" t="n">
        <v>1370</v>
      </c>
      <c r="B1371" s="23" t="n">
        <v>-200</v>
      </c>
    </row>
    <row r="1372">
      <c r="A1372" s="18" t="n">
        <v>1371</v>
      </c>
      <c r="B1372" s="23" t="n">
        <v>-160</v>
      </c>
    </row>
    <row r="1373">
      <c r="A1373" s="18" t="n">
        <v>1372</v>
      </c>
      <c r="B1373" s="23" t="n">
        <v>-720</v>
      </c>
    </row>
    <row r="1374">
      <c r="A1374" s="18" t="n">
        <v>1373</v>
      </c>
      <c r="B1374" s="23" t="n">
        <v>-760</v>
      </c>
    </row>
    <row r="1375">
      <c r="A1375" s="18" t="n">
        <v>1374</v>
      </c>
      <c r="B1375" s="23" t="n">
        <v>-520</v>
      </c>
    </row>
    <row r="1376">
      <c r="A1376" s="18" t="n">
        <v>1375</v>
      </c>
      <c r="B1376" s="23" t="n">
        <v>-440</v>
      </c>
    </row>
    <row r="1377">
      <c r="A1377" s="18" t="n">
        <v>1376</v>
      </c>
      <c r="B1377" s="23" t="n">
        <v>-280</v>
      </c>
    </row>
    <row r="1378">
      <c r="A1378" s="18" t="n">
        <v>1377</v>
      </c>
      <c r="B1378" s="23" t="n">
        <v>-1360</v>
      </c>
    </row>
    <row r="1379">
      <c r="A1379" s="18" t="n">
        <v>1378</v>
      </c>
      <c r="B1379" s="23" t="n">
        <v>-280</v>
      </c>
    </row>
    <row r="1380">
      <c r="A1380" s="18" t="n">
        <v>1379</v>
      </c>
      <c r="B1380" s="23" t="n">
        <v>-440</v>
      </c>
    </row>
    <row r="1381">
      <c r="A1381" s="18" t="n">
        <v>1380</v>
      </c>
      <c r="B1381" s="23" t="n">
        <v>-1400</v>
      </c>
    </row>
    <row r="1382">
      <c r="A1382" s="18" t="n">
        <v>1381</v>
      </c>
      <c r="B1382" s="23" t="n">
        <v>-360</v>
      </c>
    </row>
    <row r="1383">
      <c r="A1383" s="18" t="n">
        <v>1382</v>
      </c>
      <c r="B1383" s="23" t="n">
        <v>-280</v>
      </c>
    </row>
    <row r="1384">
      <c r="A1384" s="18" t="n">
        <v>1383</v>
      </c>
      <c r="B1384" s="23" t="n">
        <v>0</v>
      </c>
    </row>
    <row r="1385">
      <c r="A1385" s="18" t="n">
        <v>1384</v>
      </c>
      <c r="B1385" s="23" t="n">
        <v>-360</v>
      </c>
    </row>
    <row r="1386">
      <c r="A1386" s="18" t="n">
        <v>1385</v>
      </c>
      <c r="B1386" s="23" t="n">
        <v>-640</v>
      </c>
    </row>
    <row r="1387">
      <c r="A1387" s="18" t="n">
        <v>1386</v>
      </c>
      <c r="B1387" s="23" t="n">
        <v>-1040</v>
      </c>
    </row>
    <row r="1388">
      <c r="A1388" s="18" t="n">
        <v>1387</v>
      </c>
      <c r="B1388" s="23" t="n">
        <v>-280</v>
      </c>
    </row>
    <row r="1389">
      <c r="A1389" s="18" t="n">
        <v>1388</v>
      </c>
      <c r="B1389" s="23" t="n">
        <v>-1240</v>
      </c>
    </row>
    <row r="1390">
      <c r="A1390" s="18" t="n">
        <v>1389</v>
      </c>
      <c r="B1390" s="23" t="n">
        <v>-480</v>
      </c>
    </row>
    <row r="1391">
      <c r="A1391" s="18" t="n">
        <v>1390</v>
      </c>
      <c r="B1391" s="23" t="n">
        <v>-160</v>
      </c>
    </row>
    <row r="1392">
      <c r="A1392" s="18" t="n">
        <v>1391</v>
      </c>
      <c r="B1392" s="23" t="n">
        <v>-360</v>
      </c>
    </row>
    <row r="1393">
      <c r="A1393" s="18" t="n">
        <v>1392</v>
      </c>
      <c r="B1393" s="23" t="n">
        <v>-1600</v>
      </c>
    </row>
    <row r="1394">
      <c r="A1394" s="18" t="n">
        <v>1393</v>
      </c>
      <c r="B1394" s="23" t="n">
        <v>-320</v>
      </c>
    </row>
    <row r="1395">
      <c r="A1395" s="18" t="n">
        <v>1394</v>
      </c>
      <c r="B1395" s="23" t="n">
        <v>-640</v>
      </c>
    </row>
    <row r="1396">
      <c r="A1396" s="18" t="n">
        <v>1395</v>
      </c>
      <c r="B1396" s="23" t="n">
        <v>-600</v>
      </c>
    </row>
    <row r="1397">
      <c r="A1397" s="18" t="n">
        <v>1396</v>
      </c>
      <c r="B1397" s="23" t="n">
        <v>-1080</v>
      </c>
    </row>
    <row r="1398">
      <c r="A1398" s="18" t="n">
        <v>1397</v>
      </c>
      <c r="B1398" s="23" t="n">
        <v>-960</v>
      </c>
    </row>
    <row r="1399">
      <c r="A1399" s="18" t="n">
        <v>1398</v>
      </c>
      <c r="B1399" s="23" t="n">
        <v>-680</v>
      </c>
    </row>
    <row r="1400">
      <c r="A1400" s="18" t="n">
        <v>1399</v>
      </c>
      <c r="B1400" s="23" t="n">
        <v>-640</v>
      </c>
    </row>
    <row r="1401">
      <c r="A1401" s="18" t="n">
        <v>1400</v>
      </c>
      <c r="B1401" s="23" t="n">
        <v>160</v>
      </c>
    </row>
    <row r="1402">
      <c r="A1402" s="18" t="n">
        <v>1401</v>
      </c>
      <c r="B1402" s="23" t="n">
        <v>-160</v>
      </c>
    </row>
    <row r="1403">
      <c r="A1403" s="18" t="n">
        <v>1402</v>
      </c>
      <c r="B1403" s="23" t="n">
        <v>-360</v>
      </c>
    </row>
    <row r="1404">
      <c r="A1404" s="18" t="n">
        <v>1403</v>
      </c>
      <c r="B1404" s="23" t="n">
        <v>-840</v>
      </c>
    </row>
    <row r="1405">
      <c r="A1405" s="18" t="n">
        <v>1404</v>
      </c>
      <c r="B1405" s="23" t="n">
        <v>80</v>
      </c>
    </row>
    <row r="1406">
      <c r="A1406" s="18" t="n">
        <v>1405</v>
      </c>
      <c r="B1406" s="23" t="n">
        <v>320</v>
      </c>
    </row>
    <row r="1407">
      <c r="A1407" s="18" t="n">
        <v>1406</v>
      </c>
      <c r="B1407" s="23" t="n">
        <v>-1400</v>
      </c>
    </row>
    <row r="1408">
      <c r="A1408" s="18" t="n">
        <v>1407</v>
      </c>
      <c r="B1408" s="23" t="n">
        <v>-960</v>
      </c>
    </row>
    <row r="1409">
      <c r="A1409" s="18" t="n">
        <v>1408</v>
      </c>
      <c r="B1409" s="23" t="n">
        <v>-1000</v>
      </c>
    </row>
    <row r="1410">
      <c r="A1410" s="18" t="n">
        <v>1409</v>
      </c>
      <c r="B1410" s="23" t="n">
        <v>-560</v>
      </c>
    </row>
    <row r="1411">
      <c r="A1411" s="18" t="n">
        <v>1410</v>
      </c>
      <c r="B1411" s="23" t="n">
        <v>-520</v>
      </c>
    </row>
    <row r="1412">
      <c r="A1412" s="18" t="n">
        <v>1411</v>
      </c>
      <c r="B1412" s="23" t="n">
        <v>-520</v>
      </c>
    </row>
    <row r="1413">
      <c r="A1413" s="18" t="n">
        <v>1412</v>
      </c>
      <c r="B1413" s="23" t="n">
        <v>-160</v>
      </c>
    </row>
    <row r="1414">
      <c r="A1414" s="18" t="n">
        <v>1413</v>
      </c>
      <c r="B1414" s="23" t="n">
        <v>-880</v>
      </c>
    </row>
    <row r="1415">
      <c r="A1415" s="18" t="n">
        <v>1414</v>
      </c>
      <c r="B1415" s="23" t="n">
        <v>-320</v>
      </c>
    </row>
    <row r="1416">
      <c r="A1416" s="18" t="n">
        <v>1415</v>
      </c>
      <c r="B1416" s="23" t="n">
        <v>-760</v>
      </c>
    </row>
    <row r="1417">
      <c r="A1417" s="18" t="n">
        <v>1416</v>
      </c>
      <c r="B1417" s="23" t="n">
        <v>-520</v>
      </c>
    </row>
    <row r="1418">
      <c r="A1418" s="18" t="n">
        <v>1417</v>
      </c>
      <c r="B1418" s="23" t="n">
        <v>-520</v>
      </c>
    </row>
    <row r="1419">
      <c r="A1419" s="18" t="n">
        <v>1418</v>
      </c>
      <c r="B1419" s="23" t="n">
        <v>-360</v>
      </c>
    </row>
    <row r="1420">
      <c r="A1420" s="18" t="n">
        <v>1419</v>
      </c>
      <c r="B1420" s="23" t="n">
        <v>-520</v>
      </c>
    </row>
    <row r="1421">
      <c r="A1421" s="18" t="n">
        <v>1420</v>
      </c>
      <c r="B1421" s="23" t="n">
        <v>-440</v>
      </c>
    </row>
    <row r="1422">
      <c r="A1422" s="18" t="n">
        <v>1421</v>
      </c>
      <c r="B1422" s="23" t="n">
        <v>-240</v>
      </c>
    </row>
    <row r="1423">
      <c r="A1423" s="18" t="n">
        <v>1422</v>
      </c>
      <c r="B1423" s="23" t="n">
        <v>-720</v>
      </c>
    </row>
    <row r="1424">
      <c r="A1424" s="18" t="n">
        <v>1423</v>
      </c>
      <c r="B1424" s="23" t="n">
        <v>-240</v>
      </c>
    </row>
    <row r="1425">
      <c r="A1425" s="18" t="n">
        <v>1424</v>
      </c>
      <c r="B1425" s="23" t="n">
        <v>-1000</v>
      </c>
    </row>
    <row r="1426">
      <c r="A1426" s="18" t="n">
        <v>1425</v>
      </c>
      <c r="B1426" s="23" t="n">
        <v>-1120</v>
      </c>
    </row>
    <row r="1427">
      <c r="A1427" s="18" t="n">
        <v>1426</v>
      </c>
      <c r="B1427" s="23" t="n">
        <v>-920</v>
      </c>
    </row>
    <row r="1428">
      <c r="A1428" s="18" t="n">
        <v>1427</v>
      </c>
      <c r="B1428" s="23" t="n">
        <v>-640</v>
      </c>
    </row>
    <row r="1429">
      <c r="A1429" s="18" t="n">
        <v>1428</v>
      </c>
      <c r="B1429" s="23" t="n">
        <v>-240</v>
      </c>
    </row>
    <row r="1430">
      <c r="A1430" s="18" t="n">
        <v>1429</v>
      </c>
      <c r="B1430" s="23" t="n">
        <v>-320</v>
      </c>
    </row>
    <row r="1431">
      <c r="A1431" s="18" t="n">
        <v>1430</v>
      </c>
      <c r="B1431" s="23" t="n">
        <v>-640</v>
      </c>
    </row>
    <row r="1432">
      <c r="A1432" s="18" t="n">
        <v>1431</v>
      </c>
      <c r="B1432" s="23" t="n">
        <v>-880</v>
      </c>
    </row>
    <row r="1433">
      <c r="A1433" s="18" t="n">
        <v>1432</v>
      </c>
      <c r="B1433" s="23" t="n">
        <v>-1200</v>
      </c>
    </row>
    <row r="1434">
      <c r="A1434" s="18" t="n">
        <v>1433</v>
      </c>
      <c r="B1434" s="23" t="n">
        <v>-200</v>
      </c>
    </row>
    <row r="1435">
      <c r="A1435" s="18" t="n">
        <v>1434</v>
      </c>
      <c r="B1435" s="23" t="n">
        <v>-640</v>
      </c>
    </row>
    <row r="1436">
      <c r="A1436" s="18" t="n">
        <v>1435</v>
      </c>
      <c r="B1436" s="23" t="n">
        <v>-280</v>
      </c>
    </row>
    <row r="1437">
      <c r="A1437" s="18" t="n">
        <v>1436</v>
      </c>
      <c r="B1437" s="23" t="n">
        <v>-360</v>
      </c>
    </row>
    <row r="1438">
      <c r="A1438" s="18" t="n">
        <v>1437</v>
      </c>
      <c r="B1438" s="23" t="n">
        <v>-1400</v>
      </c>
    </row>
    <row r="1439">
      <c r="A1439" s="18" t="n">
        <v>1438</v>
      </c>
      <c r="B1439" s="23" t="n">
        <v>-480</v>
      </c>
    </row>
    <row r="1440">
      <c r="A1440" s="18" t="n">
        <v>1439</v>
      </c>
      <c r="B1440" s="23" t="n">
        <v>-720</v>
      </c>
    </row>
    <row r="1441">
      <c r="A1441" s="18" t="n">
        <v>1440</v>
      </c>
      <c r="B1441" s="23" t="n">
        <v>-800</v>
      </c>
    </row>
    <row r="1442">
      <c r="A1442" s="18" t="n">
        <v>1441</v>
      </c>
      <c r="B1442" s="23" t="n">
        <v>-1040</v>
      </c>
    </row>
    <row r="1443">
      <c r="A1443" s="18" t="n">
        <v>1442</v>
      </c>
      <c r="B1443" s="23" t="n">
        <v>-160</v>
      </c>
    </row>
    <row r="1444">
      <c r="A1444" s="18" t="n">
        <v>1443</v>
      </c>
      <c r="B1444" s="23" t="n">
        <v>-520</v>
      </c>
    </row>
    <row r="1445">
      <c r="A1445" s="18" t="n">
        <v>1444</v>
      </c>
      <c r="B1445" s="23" t="n">
        <v>-1520</v>
      </c>
    </row>
    <row r="1446">
      <c r="A1446" s="18" t="n">
        <v>1445</v>
      </c>
      <c r="B1446" s="23" t="n">
        <v>-240</v>
      </c>
    </row>
    <row r="1447">
      <c r="A1447" s="18" t="n">
        <v>1446</v>
      </c>
      <c r="B1447" s="23" t="n">
        <v>-440</v>
      </c>
    </row>
    <row r="1448">
      <c r="A1448" s="18" t="n">
        <v>1447</v>
      </c>
      <c r="B1448" s="23" t="n">
        <v>-280</v>
      </c>
    </row>
    <row r="1449">
      <c r="A1449" s="18" t="n">
        <v>1448</v>
      </c>
      <c r="B1449" s="23" t="n">
        <v>-80</v>
      </c>
    </row>
    <row r="1450">
      <c r="A1450" s="18" t="n">
        <v>1449</v>
      </c>
      <c r="B1450" s="23" t="n">
        <v>-1400</v>
      </c>
    </row>
    <row r="1451">
      <c r="A1451" s="18" t="n">
        <v>1450</v>
      </c>
      <c r="B1451" s="23" t="n">
        <v>-240</v>
      </c>
    </row>
    <row r="1452">
      <c r="A1452" s="18" t="n">
        <v>1451</v>
      </c>
      <c r="B1452" s="23" t="n">
        <v>-1680</v>
      </c>
    </row>
    <row r="1453">
      <c r="A1453" s="18" t="n">
        <v>1452</v>
      </c>
      <c r="B1453" s="23" t="n">
        <v>-40</v>
      </c>
    </row>
    <row r="1454">
      <c r="A1454" s="18" t="n">
        <v>1453</v>
      </c>
      <c r="B1454" s="23" t="n">
        <v>-120</v>
      </c>
    </row>
    <row r="1455">
      <c r="A1455" s="18" t="n">
        <v>1454</v>
      </c>
      <c r="B1455" s="23" t="n">
        <v>-1400</v>
      </c>
    </row>
    <row r="1456">
      <c r="A1456" s="18" t="n">
        <v>1455</v>
      </c>
      <c r="B1456" s="23" t="n">
        <v>-440</v>
      </c>
    </row>
    <row r="1457">
      <c r="A1457" s="18" t="n">
        <v>1456</v>
      </c>
      <c r="B1457" s="23" t="n">
        <v>-680</v>
      </c>
    </row>
    <row r="1458">
      <c r="A1458" s="18" t="n">
        <v>1457</v>
      </c>
      <c r="B1458" s="23" t="n">
        <v>-1120</v>
      </c>
    </row>
    <row r="1459">
      <c r="A1459" s="18" t="n">
        <v>1458</v>
      </c>
      <c r="B1459" s="23" t="n">
        <v>-1200</v>
      </c>
    </row>
    <row r="1460">
      <c r="A1460" s="18" t="n">
        <v>1459</v>
      </c>
      <c r="B1460" s="23" t="n">
        <v>-1040</v>
      </c>
    </row>
    <row r="1461">
      <c r="A1461" s="18" t="n">
        <v>1460</v>
      </c>
      <c r="B1461" s="23" t="n">
        <v>-480</v>
      </c>
    </row>
    <row r="1462">
      <c r="A1462" s="18" t="n">
        <v>1461</v>
      </c>
      <c r="B1462" s="23" t="n">
        <v>-160</v>
      </c>
    </row>
    <row r="1463">
      <c r="A1463" s="18" t="n">
        <v>1462</v>
      </c>
      <c r="B1463" s="23" t="n">
        <v>-720</v>
      </c>
    </row>
    <row r="1464">
      <c r="A1464" s="18" t="n">
        <v>1463</v>
      </c>
      <c r="B1464" s="23" t="n">
        <v>-320</v>
      </c>
    </row>
    <row r="1465">
      <c r="A1465" s="18" t="n">
        <v>1464</v>
      </c>
      <c r="B1465" s="23" t="n">
        <v>-120</v>
      </c>
    </row>
    <row r="1466">
      <c r="A1466" s="18" t="n">
        <v>1465</v>
      </c>
      <c r="B1466" s="23" t="n">
        <v>80</v>
      </c>
    </row>
    <row r="1467">
      <c r="A1467" s="18" t="n">
        <v>1466</v>
      </c>
      <c r="B1467" s="23" t="n">
        <v>-400</v>
      </c>
    </row>
    <row r="1468">
      <c r="A1468" s="18" t="n">
        <v>1467</v>
      </c>
      <c r="B1468" s="23" t="n">
        <v>-840</v>
      </c>
    </row>
    <row r="1469">
      <c r="A1469" s="18" t="n">
        <v>1468</v>
      </c>
      <c r="B1469" s="23" t="n">
        <v>-440</v>
      </c>
    </row>
    <row r="1470">
      <c r="A1470" s="18" t="n">
        <v>1469</v>
      </c>
      <c r="B1470" s="23" t="n">
        <v>160</v>
      </c>
    </row>
    <row r="1471">
      <c r="A1471" s="18" t="n">
        <v>1470</v>
      </c>
      <c r="B1471" s="23" t="n">
        <v>-1120</v>
      </c>
    </row>
    <row r="1472">
      <c r="A1472" s="18" t="n">
        <v>1471</v>
      </c>
      <c r="B1472" s="23" t="n">
        <v>-200</v>
      </c>
    </row>
    <row r="1473">
      <c r="A1473" s="18" t="n">
        <v>1472</v>
      </c>
      <c r="B1473" s="23" t="n">
        <v>-1120</v>
      </c>
    </row>
    <row r="1474">
      <c r="A1474" s="18" t="n">
        <v>1473</v>
      </c>
      <c r="B1474" s="23" t="n">
        <v>-160</v>
      </c>
    </row>
    <row r="1475">
      <c r="A1475" s="18" t="n">
        <v>1474</v>
      </c>
      <c r="B1475" s="23" t="n">
        <v>-1520</v>
      </c>
    </row>
    <row r="1476">
      <c r="A1476" s="18" t="n">
        <v>1475</v>
      </c>
      <c r="B1476" s="23" t="n">
        <v>-640</v>
      </c>
    </row>
    <row r="1477">
      <c r="A1477" s="18" t="n">
        <v>1476</v>
      </c>
      <c r="B1477" s="23" t="n">
        <v>560</v>
      </c>
    </row>
    <row r="1478">
      <c r="A1478" s="18" t="n">
        <v>1477</v>
      </c>
      <c r="B1478" s="23" t="n">
        <v>-480</v>
      </c>
    </row>
    <row r="1479">
      <c r="A1479" s="18" t="n">
        <v>1478</v>
      </c>
      <c r="B1479" s="23" t="n">
        <v>-200</v>
      </c>
    </row>
    <row r="1480">
      <c r="A1480" s="18" t="n">
        <v>1479</v>
      </c>
      <c r="B1480" s="23" t="n">
        <v>-1520</v>
      </c>
    </row>
    <row r="1481">
      <c r="A1481" s="18" t="n">
        <v>1480</v>
      </c>
      <c r="B1481" s="23" t="n">
        <v>-280</v>
      </c>
    </row>
    <row r="1482">
      <c r="A1482" s="18" t="n">
        <v>1481</v>
      </c>
      <c r="B1482" s="23" t="n">
        <v>-400</v>
      </c>
    </row>
    <row r="1483">
      <c r="A1483" s="18" t="n">
        <v>1482</v>
      </c>
      <c r="B1483" s="23" t="n">
        <v>80</v>
      </c>
    </row>
    <row r="1484">
      <c r="A1484" s="18" t="n">
        <v>1483</v>
      </c>
      <c r="B1484" s="23" t="n">
        <v>-600</v>
      </c>
    </row>
    <row r="1485">
      <c r="A1485" s="18" t="n">
        <v>1484</v>
      </c>
      <c r="B1485" s="23" t="n">
        <v>-1320</v>
      </c>
    </row>
    <row r="1486">
      <c r="A1486" s="18" t="n">
        <v>1485</v>
      </c>
      <c r="B1486" s="23" t="n">
        <v>-520</v>
      </c>
    </row>
    <row r="1487">
      <c r="A1487" s="18" t="n">
        <v>1486</v>
      </c>
      <c r="B1487" s="23" t="n">
        <v>-800</v>
      </c>
    </row>
    <row r="1488">
      <c r="A1488" s="18" t="n">
        <v>1487</v>
      </c>
      <c r="B1488" s="23" t="n">
        <v>-200</v>
      </c>
    </row>
    <row r="1489">
      <c r="A1489" s="18" t="n">
        <v>1488</v>
      </c>
      <c r="B1489" s="23" t="n">
        <v>-280</v>
      </c>
    </row>
    <row r="1490">
      <c r="A1490" s="18" t="n">
        <v>1489</v>
      </c>
      <c r="B1490" s="23" t="n">
        <v>200</v>
      </c>
    </row>
    <row r="1491">
      <c r="A1491" s="18" t="n">
        <v>1490</v>
      </c>
      <c r="B1491" s="23" t="n">
        <v>480</v>
      </c>
    </row>
    <row r="1492">
      <c r="A1492" s="18" t="n">
        <v>1491</v>
      </c>
      <c r="B1492" s="23" t="n">
        <v>-520</v>
      </c>
    </row>
    <row r="1493">
      <c r="A1493" s="18" t="n">
        <v>1492</v>
      </c>
      <c r="B1493" s="23" t="n">
        <v>-920</v>
      </c>
    </row>
    <row r="1494">
      <c r="A1494" s="18" t="n">
        <v>1493</v>
      </c>
      <c r="B1494" s="23" t="n">
        <v>-840</v>
      </c>
    </row>
    <row r="1495">
      <c r="A1495" s="18" t="n">
        <v>1494</v>
      </c>
      <c r="B1495" s="23" t="n">
        <v>-1880</v>
      </c>
    </row>
    <row r="1496">
      <c r="A1496" s="18" t="n">
        <v>1495</v>
      </c>
      <c r="B1496" s="23" t="n">
        <v>-800</v>
      </c>
    </row>
    <row r="1497">
      <c r="A1497" s="18" t="n">
        <v>1496</v>
      </c>
      <c r="B1497" s="23" t="n">
        <v>-800</v>
      </c>
    </row>
    <row r="1498">
      <c r="A1498" s="18" t="n">
        <v>1497</v>
      </c>
      <c r="B1498" s="23" t="n">
        <v>-800</v>
      </c>
    </row>
    <row r="1499">
      <c r="A1499" s="18" t="n">
        <v>1498</v>
      </c>
      <c r="B1499" s="23" t="n">
        <v>-600</v>
      </c>
    </row>
    <row r="1500">
      <c r="A1500" s="18" t="n">
        <v>1499</v>
      </c>
      <c r="B1500" s="23" t="n">
        <v>-200</v>
      </c>
    </row>
    <row r="1501">
      <c r="A1501" s="18" t="n">
        <v>1500</v>
      </c>
      <c r="B1501" s="23" t="n">
        <v>-1360</v>
      </c>
    </row>
    <row r="1502">
      <c r="A1502" s="18" t="n">
        <v>1501</v>
      </c>
      <c r="B1502" s="23" t="n">
        <v>-1160</v>
      </c>
    </row>
    <row r="1503">
      <c r="A1503" s="18" t="n">
        <v>1502</v>
      </c>
      <c r="B1503" s="23" t="n">
        <v>-1440</v>
      </c>
    </row>
    <row r="1504">
      <c r="A1504" s="18" t="n">
        <v>1503</v>
      </c>
      <c r="B1504" s="23" t="n">
        <v>-1000</v>
      </c>
    </row>
    <row r="1505">
      <c r="A1505" s="18" t="n">
        <v>1504</v>
      </c>
      <c r="B1505" s="23" t="n">
        <v>840</v>
      </c>
    </row>
    <row r="1506">
      <c r="A1506" s="18" t="n">
        <v>1505</v>
      </c>
      <c r="B1506" s="23" t="n">
        <v>-320</v>
      </c>
    </row>
    <row r="1507">
      <c r="A1507" s="18" t="n">
        <v>1506</v>
      </c>
      <c r="B1507" s="23" t="n">
        <v>-680</v>
      </c>
    </row>
    <row r="1508">
      <c r="A1508" s="18" t="n">
        <v>1507</v>
      </c>
      <c r="B1508" s="23" t="n">
        <v>-400</v>
      </c>
    </row>
    <row r="1509">
      <c r="A1509" s="18" t="n">
        <v>1508</v>
      </c>
      <c r="B1509" s="23" t="n">
        <v>120</v>
      </c>
    </row>
    <row r="1510">
      <c r="A1510" s="18" t="n">
        <v>1509</v>
      </c>
      <c r="B1510" s="23" t="n">
        <v>-1040</v>
      </c>
    </row>
    <row r="1511">
      <c r="A1511" s="18" t="n">
        <v>1510</v>
      </c>
      <c r="B1511" s="23" t="n">
        <v>-560</v>
      </c>
    </row>
    <row r="1512">
      <c r="A1512" s="18" t="n">
        <v>1511</v>
      </c>
      <c r="B1512" s="23" t="n">
        <v>-640</v>
      </c>
    </row>
    <row r="1513">
      <c r="A1513" s="18" t="n">
        <v>1512</v>
      </c>
      <c r="B1513" s="23" t="n">
        <v>-760</v>
      </c>
    </row>
    <row r="1514">
      <c r="A1514" s="18" t="n">
        <v>1513</v>
      </c>
      <c r="B1514" s="23" t="n">
        <v>-520</v>
      </c>
    </row>
    <row r="1515">
      <c r="A1515" s="18" t="n">
        <v>1514</v>
      </c>
      <c r="B1515" s="23" t="n">
        <v>-1240</v>
      </c>
    </row>
    <row r="1516">
      <c r="A1516" s="18" t="n">
        <v>1515</v>
      </c>
      <c r="B1516" s="23" t="n">
        <v>-960</v>
      </c>
    </row>
    <row r="1517">
      <c r="A1517" s="18" t="n">
        <v>1516</v>
      </c>
      <c r="B1517" s="23" t="n">
        <v>-800</v>
      </c>
    </row>
    <row r="1518">
      <c r="A1518" s="18" t="n">
        <v>1517</v>
      </c>
      <c r="B1518" s="23" t="n">
        <v>-680</v>
      </c>
    </row>
    <row r="1519">
      <c r="A1519" s="18" t="n">
        <v>1518</v>
      </c>
      <c r="B1519" s="23" t="n">
        <v>-240</v>
      </c>
    </row>
    <row r="1520">
      <c r="A1520" s="18" t="n">
        <v>1519</v>
      </c>
      <c r="B1520" s="23" t="n">
        <v>-880</v>
      </c>
    </row>
    <row r="1521">
      <c r="A1521" s="18" t="n">
        <v>1520</v>
      </c>
      <c r="B1521" s="23" t="n">
        <v>-1280</v>
      </c>
    </row>
    <row r="1522">
      <c r="A1522" s="18" t="n">
        <v>1521</v>
      </c>
      <c r="B1522" s="23" t="n">
        <v>0</v>
      </c>
    </row>
    <row r="1523">
      <c r="A1523" s="18" t="n">
        <v>1522</v>
      </c>
      <c r="B1523" s="23" t="n">
        <v>240</v>
      </c>
    </row>
    <row r="1524">
      <c r="A1524" s="18" t="n">
        <v>1523</v>
      </c>
      <c r="B1524" s="23" t="n">
        <v>-1200</v>
      </c>
    </row>
    <row r="1525">
      <c r="A1525" s="18" t="n">
        <v>1524</v>
      </c>
      <c r="B1525" s="23" t="n">
        <v>-600</v>
      </c>
    </row>
    <row r="1526">
      <c r="A1526" s="18" t="n">
        <v>1525</v>
      </c>
      <c r="B1526" s="23" t="n">
        <v>-1040</v>
      </c>
    </row>
    <row r="1527">
      <c r="A1527" s="18" t="n">
        <v>1526</v>
      </c>
      <c r="B1527" s="23" t="n">
        <v>-40</v>
      </c>
    </row>
    <row r="1528">
      <c r="A1528" s="18" t="n">
        <v>1527</v>
      </c>
      <c r="B1528" s="23" t="n">
        <v>-640</v>
      </c>
    </row>
    <row r="1529">
      <c r="A1529" s="18" t="n">
        <v>1528</v>
      </c>
      <c r="B1529" s="23" t="n">
        <v>-440</v>
      </c>
    </row>
    <row r="1530">
      <c r="A1530" s="18" t="n">
        <v>1529</v>
      </c>
      <c r="B1530" s="23" t="n">
        <v>-840</v>
      </c>
    </row>
    <row r="1531">
      <c r="A1531" s="18" t="n">
        <v>1530</v>
      </c>
      <c r="B1531" s="23" t="n">
        <v>-680</v>
      </c>
    </row>
    <row r="1532">
      <c r="A1532" s="18" t="n">
        <v>1531</v>
      </c>
      <c r="B1532" s="23" t="n">
        <v>-560</v>
      </c>
    </row>
    <row r="1533">
      <c r="A1533" s="18" t="n">
        <v>1532</v>
      </c>
      <c r="B1533" s="23" t="n">
        <v>-440</v>
      </c>
    </row>
    <row r="1534">
      <c r="A1534" s="18" t="n">
        <v>1533</v>
      </c>
      <c r="B1534" s="23" t="n">
        <v>-1440</v>
      </c>
    </row>
    <row r="1535">
      <c r="A1535" s="18" t="n">
        <v>1534</v>
      </c>
      <c r="B1535" s="23" t="n">
        <v>-680</v>
      </c>
    </row>
    <row r="1536">
      <c r="A1536" s="18" t="n">
        <v>1535</v>
      </c>
      <c r="B1536" s="23" t="n">
        <v>-1240</v>
      </c>
    </row>
    <row r="1537">
      <c r="A1537" s="18" t="n">
        <v>1536</v>
      </c>
      <c r="B1537" s="23" t="n">
        <v>-1040</v>
      </c>
    </row>
    <row r="1538">
      <c r="A1538" s="18" t="n">
        <v>1537</v>
      </c>
      <c r="B1538" s="23" t="n">
        <v>-520</v>
      </c>
    </row>
    <row r="1539">
      <c r="A1539" s="18" t="n">
        <v>1538</v>
      </c>
      <c r="B1539" s="23" t="n">
        <v>-1360</v>
      </c>
    </row>
    <row r="1540">
      <c r="A1540" s="18" t="n">
        <v>1539</v>
      </c>
      <c r="B1540" s="23" t="n">
        <v>200</v>
      </c>
    </row>
    <row r="1541">
      <c r="A1541" s="18" t="n">
        <v>1540</v>
      </c>
      <c r="B1541" s="23" t="n">
        <v>-880</v>
      </c>
    </row>
    <row r="1542">
      <c r="A1542" s="18" t="n">
        <v>1541</v>
      </c>
      <c r="B1542" s="23" t="n">
        <v>-1280</v>
      </c>
    </row>
    <row r="1543">
      <c r="A1543" s="18" t="n">
        <v>1542</v>
      </c>
      <c r="B1543" s="23" t="n">
        <v>-160</v>
      </c>
    </row>
    <row r="1544">
      <c r="A1544" s="18" t="n">
        <v>1543</v>
      </c>
      <c r="B1544" s="23" t="n">
        <v>-840</v>
      </c>
    </row>
    <row r="1545">
      <c r="A1545" s="18" t="n">
        <v>1544</v>
      </c>
      <c r="B1545" s="23" t="n">
        <v>-400</v>
      </c>
    </row>
    <row r="1546">
      <c r="A1546" s="18" t="n">
        <v>1545</v>
      </c>
      <c r="B1546" s="23" t="n">
        <v>-440</v>
      </c>
    </row>
    <row r="1547">
      <c r="A1547" s="18" t="n">
        <v>1546</v>
      </c>
      <c r="B1547" s="23" t="n">
        <v>0</v>
      </c>
    </row>
    <row r="1548">
      <c r="A1548" s="18" t="n">
        <v>1547</v>
      </c>
      <c r="B1548" s="23" t="n">
        <v>-600</v>
      </c>
    </row>
    <row r="1549">
      <c r="A1549" s="18" t="n">
        <v>1548</v>
      </c>
      <c r="B1549" s="23" t="n">
        <v>-560</v>
      </c>
    </row>
    <row r="1550">
      <c r="A1550" s="18" t="n">
        <v>1549</v>
      </c>
      <c r="B1550" s="23" t="n">
        <v>-720</v>
      </c>
    </row>
    <row r="1551">
      <c r="A1551" s="18" t="n">
        <v>1550</v>
      </c>
      <c r="B1551" s="23" t="n">
        <v>-480</v>
      </c>
    </row>
    <row r="1552">
      <c r="A1552" s="18" t="n">
        <v>1551</v>
      </c>
      <c r="B1552" s="23" t="n">
        <v>-880</v>
      </c>
    </row>
    <row r="1553">
      <c r="A1553" s="18" t="n">
        <v>1552</v>
      </c>
      <c r="B1553" s="23" t="n">
        <v>-320</v>
      </c>
    </row>
    <row r="1554">
      <c r="A1554" s="18" t="n">
        <v>1553</v>
      </c>
      <c r="B1554" s="23" t="n">
        <v>-1040</v>
      </c>
    </row>
    <row r="1555">
      <c r="A1555" s="18" t="n">
        <v>1554</v>
      </c>
      <c r="B1555" s="23" t="n">
        <v>-1440</v>
      </c>
    </row>
    <row r="1556">
      <c r="A1556" s="18" t="n">
        <v>1555</v>
      </c>
      <c r="B1556" s="23" t="n">
        <v>-720</v>
      </c>
    </row>
    <row r="1557">
      <c r="A1557" s="18" t="n">
        <v>1556</v>
      </c>
      <c r="B1557" s="23" t="n">
        <v>-560</v>
      </c>
    </row>
    <row r="1558">
      <c r="A1558" s="18" t="n">
        <v>1557</v>
      </c>
      <c r="B1558" s="23" t="n">
        <v>-480</v>
      </c>
    </row>
    <row r="1559">
      <c r="A1559" s="18" t="n">
        <v>1558</v>
      </c>
      <c r="B1559" s="23" t="n">
        <v>-480</v>
      </c>
    </row>
    <row r="1560">
      <c r="A1560" s="18" t="n">
        <v>1559</v>
      </c>
      <c r="B1560" s="23" t="n">
        <v>-400</v>
      </c>
    </row>
    <row r="1561">
      <c r="A1561" s="18" t="n">
        <v>1560</v>
      </c>
      <c r="B1561" s="23" t="n">
        <v>-320</v>
      </c>
    </row>
    <row r="1562">
      <c r="A1562" s="18" t="n">
        <v>1561</v>
      </c>
      <c r="B1562" s="23" t="n">
        <v>-400</v>
      </c>
    </row>
    <row r="1563">
      <c r="A1563" s="18" t="n">
        <v>1562</v>
      </c>
      <c r="B1563" s="23" t="n">
        <v>-360</v>
      </c>
    </row>
    <row r="1564">
      <c r="A1564" s="18" t="n">
        <v>1563</v>
      </c>
      <c r="B1564" s="23" t="n">
        <v>-240</v>
      </c>
    </row>
    <row r="1565">
      <c r="A1565" s="18" t="n">
        <v>1564</v>
      </c>
      <c r="B1565" s="23" t="n">
        <v>-1200</v>
      </c>
    </row>
    <row r="1566">
      <c r="A1566" s="18" t="n">
        <v>1565</v>
      </c>
      <c r="B1566" s="23" t="n">
        <v>-520</v>
      </c>
    </row>
    <row r="1567">
      <c r="A1567" s="18" t="n">
        <v>1566</v>
      </c>
      <c r="B1567" s="23" t="n">
        <v>-600</v>
      </c>
    </row>
    <row r="1568">
      <c r="A1568" s="18" t="n">
        <v>1567</v>
      </c>
      <c r="B1568" s="23" t="n">
        <v>-720</v>
      </c>
    </row>
    <row r="1569">
      <c r="A1569" s="18" t="n">
        <v>1568</v>
      </c>
      <c r="B1569" s="23" t="n">
        <v>-240</v>
      </c>
    </row>
    <row r="1570">
      <c r="A1570" s="18" t="n">
        <v>1569</v>
      </c>
      <c r="B1570" s="23" t="n">
        <v>-1120</v>
      </c>
    </row>
    <row r="1571">
      <c r="A1571" s="18" t="n">
        <v>1570</v>
      </c>
      <c r="B1571" s="23" t="n">
        <v>-840</v>
      </c>
    </row>
    <row r="1572">
      <c r="A1572" s="18" t="n">
        <v>1571</v>
      </c>
      <c r="B1572" s="23" t="n">
        <v>-840</v>
      </c>
    </row>
    <row r="1573">
      <c r="A1573" s="18" t="n">
        <v>1572</v>
      </c>
      <c r="B1573" s="23" t="n">
        <v>-680</v>
      </c>
    </row>
    <row r="1574">
      <c r="A1574" s="18" t="n">
        <v>1573</v>
      </c>
      <c r="B1574" s="23" t="n">
        <v>-560</v>
      </c>
    </row>
    <row r="1575">
      <c r="A1575" s="18" t="n">
        <v>1574</v>
      </c>
      <c r="B1575" s="23" t="n">
        <v>-480</v>
      </c>
    </row>
    <row r="1576">
      <c r="A1576" s="18" t="n">
        <v>1575</v>
      </c>
      <c r="B1576" s="23" t="n">
        <v>-640</v>
      </c>
    </row>
    <row r="1577">
      <c r="A1577" s="18" t="n">
        <v>1576</v>
      </c>
      <c r="B1577" s="23" t="n">
        <v>-960</v>
      </c>
    </row>
    <row r="1578">
      <c r="A1578" s="18" t="n">
        <v>1577</v>
      </c>
      <c r="B1578" s="23" t="n">
        <v>-360</v>
      </c>
    </row>
    <row r="1579">
      <c r="A1579" s="18" t="n">
        <v>1578</v>
      </c>
      <c r="B1579" s="23" t="n">
        <v>-1080</v>
      </c>
    </row>
    <row r="1580">
      <c r="A1580" s="18" t="n">
        <v>1579</v>
      </c>
      <c r="B1580" s="23" t="n">
        <v>-880</v>
      </c>
    </row>
    <row r="1581">
      <c r="A1581" s="18" t="n">
        <v>1580</v>
      </c>
      <c r="B1581" s="23" t="n">
        <v>-120</v>
      </c>
    </row>
    <row r="1582">
      <c r="A1582" s="18" t="n">
        <v>1581</v>
      </c>
      <c r="B1582" s="23" t="n">
        <v>-480</v>
      </c>
    </row>
    <row r="1583">
      <c r="A1583" s="18" t="n">
        <v>1582</v>
      </c>
      <c r="B1583" s="23" t="n">
        <v>-320</v>
      </c>
    </row>
    <row r="1584">
      <c r="A1584" s="18" t="n">
        <v>1583</v>
      </c>
      <c r="B1584" s="23" t="n">
        <v>-280</v>
      </c>
    </row>
    <row r="1585">
      <c r="A1585" s="18" t="n">
        <v>1584</v>
      </c>
      <c r="B1585" s="23" t="n">
        <v>-920</v>
      </c>
    </row>
    <row r="1586">
      <c r="A1586" s="18" t="n">
        <v>1585</v>
      </c>
      <c r="B1586" s="23" t="n">
        <v>-960</v>
      </c>
    </row>
    <row r="1587">
      <c r="A1587" s="18" t="n">
        <v>1586</v>
      </c>
      <c r="B1587" s="23" t="n">
        <v>-600</v>
      </c>
    </row>
    <row r="1588">
      <c r="A1588" s="18" t="n">
        <v>1587</v>
      </c>
      <c r="B1588" s="23" t="n">
        <v>-280</v>
      </c>
    </row>
    <row r="1589">
      <c r="A1589" s="18" t="n">
        <v>1588</v>
      </c>
      <c r="B1589" s="23" t="n">
        <v>-600</v>
      </c>
    </row>
    <row r="1590">
      <c r="A1590" s="18" t="n">
        <v>1589</v>
      </c>
      <c r="B1590" s="23" t="n">
        <v>-1560</v>
      </c>
    </row>
    <row r="1591">
      <c r="A1591" s="18" t="n">
        <v>1590</v>
      </c>
      <c r="B1591" s="23" t="n">
        <v>-1000</v>
      </c>
    </row>
    <row r="1592">
      <c r="A1592" s="18" t="n">
        <v>1591</v>
      </c>
      <c r="B1592" s="23" t="n">
        <v>-1440</v>
      </c>
    </row>
    <row r="1593">
      <c r="A1593" s="18" t="n">
        <v>1592</v>
      </c>
      <c r="B1593" s="23" t="n">
        <v>-1240</v>
      </c>
    </row>
    <row r="1594">
      <c r="A1594" s="18" t="n">
        <v>1593</v>
      </c>
      <c r="B1594" s="23" t="n">
        <v>-1280</v>
      </c>
    </row>
    <row r="1595">
      <c r="A1595" s="18" t="n">
        <v>1594</v>
      </c>
      <c r="B1595" s="23" t="n">
        <v>-680</v>
      </c>
    </row>
    <row r="1596">
      <c r="A1596" s="18" t="n">
        <v>1595</v>
      </c>
      <c r="B1596" s="23" t="n">
        <v>360</v>
      </c>
    </row>
    <row r="1597">
      <c r="A1597" s="18" t="n">
        <v>1596</v>
      </c>
      <c r="B1597" s="23" t="n">
        <v>-440</v>
      </c>
    </row>
    <row r="1598">
      <c r="A1598" s="18" t="n">
        <v>1597</v>
      </c>
      <c r="B1598" s="23" t="n">
        <v>-1000</v>
      </c>
    </row>
    <row r="1599">
      <c r="A1599" s="18" t="n">
        <v>1598</v>
      </c>
      <c r="B1599" s="23" t="n">
        <v>-680</v>
      </c>
    </row>
    <row r="1600">
      <c r="A1600" s="18" t="n">
        <v>1599</v>
      </c>
      <c r="B1600" s="23" t="n">
        <v>-760</v>
      </c>
    </row>
    <row r="1601">
      <c r="A1601" s="18" t="n">
        <v>1600</v>
      </c>
      <c r="B1601" s="23" t="n">
        <v>-280</v>
      </c>
    </row>
    <row r="1602">
      <c r="A1602" s="18" t="n">
        <v>1601</v>
      </c>
      <c r="B1602" s="23" t="n">
        <v>-680</v>
      </c>
    </row>
    <row r="1603">
      <c r="A1603" s="18" t="n">
        <v>1602</v>
      </c>
      <c r="B1603" s="23" t="n">
        <v>-880</v>
      </c>
    </row>
    <row r="1604">
      <c r="A1604" s="18" t="n">
        <v>1603</v>
      </c>
      <c r="B1604" s="23" t="n">
        <v>-640</v>
      </c>
    </row>
    <row r="1605">
      <c r="A1605" s="18" t="n">
        <v>1604</v>
      </c>
      <c r="B1605" s="23" t="n">
        <v>-1280</v>
      </c>
    </row>
    <row r="1606">
      <c r="A1606" s="18" t="n">
        <v>1605</v>
      </c>
      <c r="B1606" s="23" t="n">
        <v>-600</v>
      </c>
    </row>
    <row r="1607">
      <c r="A1607" s="18" t="n">
        <v>1606</v>
      </c>
      <c r="B1607" s="23" t="n">
        <v>-1360</v>
      </c>
    </row>
    <row r="1608">
      <c r="A1608" s="18" t="n">
        <v>1607</v>
      </c>
      <c r="B1608" s="23" t="n">
        <v>-440</v>
      </c>
    </row>
    <row r="1609">
      <c r="A1609" s="18" t="n">
        <v>1608</v>
      </c>
      <c r="B1609" s="23" t="n">
        <v>-960</v>
      </c>
    </row>
    <row r="1610">
      <c r="A1610" s="18" t="n">
        <v>1609</v>
      </c>
      <c r="B1610" s="23" t="n">
        <v>-600</v>
      </c>
    </row>
    <row r="1611">
      <c r="A1611" s="18" t="n">
        <v>1610</v>
      </c>
      <c r="B1611" s="23" t="n">
        <v>-1000</v>
      </c>
    </row>
    <row r="1612">
      <c r="A1612" s="18" t="n">
        <v>1611</v>
      </c>
      <c r="B1612" s="23" t="n">
        <v>-640</v>
      </c>
    </row>
    <row r="1613">
      <c r="A1613" s="18" t="n">
        <v>1612</v>
      </c>
      <c r="B1613" s="23" t="n">
        <v>-1080</v>
      </c>
    </row>
    <row r="1614">
      <c r="A1614" s="18" t="n">
        <v>1613</v>
      </c>
      <c r="B1614" s="23" t="n">
        <v>720</v>
      </c>
    </row>
    <row r="1615">
      <c r="A1615" s="18" t="n">
        <v>1614</v>
      </c>
      <c r="B1615" s="23" t="n">
        <v>-760</v>
      </c>
    </row>
    <row r="1616">
      <c r="A1616" s="18" t="n">
        <v>1615</v>
      </c>
      <c r="B1616" s="23" t="n">
        <v>-880</v>
      </c>
    </row>
    <row r="1617">
      <c r="A1617" s="18" t="n">
        <v>1616</v>
      </c>
      <c r="B1617" s="23" t="n">
        <v>-760</v>
      </c>
    </row>
    <row r="1618">
      <c r="A1618" s="18" t="n">
        <v>1617</v>
      </c>
      <c r="B1618" s="23" t="n">
        <v>-960</v>
      </c>
    </row>
    <row r="1619">
      <c r="A1619" s="18" t="n">
        <v>1618</v>
      </c>
      <c r="B1619" s="23" t="n">
        <v>-280</v>
      </c>
    </row>
    <row r="1620">
      <c r="A1620" s="18" t="n">
        <v>1619</v>
      </c>
      <c r="B1620" s="23" t="n">
        <v>0</v>
      </c>
    </row>
    <row r="1621">
      <c r="A1621" s="18" t="n">
        <v>1620</v>
      </c>
      <c r="B1621" s="23" t="n">
        <v>-1040</v>
      </c>
    </row>
    <row r="1622">
      <c r="A1622" s="18" t="n">
        <v>1621</v>
      </c>
      <c r="B1622" s="23" t="n">
        <v>-680</v>
      </c>
    </row>
    <row r="1623">
      <c r="A1623" s="18" t="n">
        <v>1622</v>
      </c>
      <c r="B1623" s="23" t="n">
        <v>-1040</v>
      </c>
    </row>
    <row r="1624">
      <c r="A1624" s="18" t="n">
        <v>1623</v>
      </c>
      <c r="B1624" s="23" t="n">
        <v>-520</v>
      </c>
    </row>
    <row r="1625">
      <c r="A1625" s="18" t="n">
        <v>1624</v>
      </c>
      <c r="B1625" s="23" t="n">
        <v>-1040</v>
      </c>
    </row>
    <row r="1626">
      <c r="A1626" s="18" t="n">
        <v>1625</v>
      </c>
      <c r="B1626" s="23" t="n">
        <v>-40</v>
      </c>
    </row>
    <row r="1627">
      <c r="A1627" s="18" t="n">
        <v>1626</v>
      </c>
      <c r="B1627" s="23" t="n">
        <v>-1200</v>
      </c>
    </row>
    <row r="1628">
      <c r="A1628" s="18" t="n">
        <v>1627</v>
      </c>
      <c r="B1628" s="23" t="n">
        <v>-640</v>
      </c>
    </row>
    <row r="1629">
      <c r="A1629" s="18" t="n">
        <v>1628</v>
      </c>
      <c r="B1629" s="23" t="n">
        <v>-680</v>
      </c>
    </row>
    <row r="1630">
      <c r="A1630" s="18" t="n">
        <v>1629</v>
      </c>
      <c r="B1630" s="23" t="n">
        <v>-120</v>
      </c>
    </row>
    <row r="1631">
      <c r="A1631" s="18" t="n">
        <v>1630</v>
      </c>
      <c r="B1631" s="23" t="n">
        <v>-200</v>
      </c>
    </row>
    <row r="1632">
      <c r="A1632" s="18" t="n">
        <v>1631</v>
      </c>
      <c r="B1632" s="23" t="n">
        <v>-880</v>
      </c>
    </row>
    <row r="1633">
      <c r="A1633" s="18" t="n">
        <v>1632</v>
      </c>
      <c r="B1633" s="23" t="n">
        <v>-1040</v>
      </c>
    </row>
    <row r="1634">
      <c r="A1634" s="18" t="n">
        <v>1633</v>
      </c>
      <c r="B1634" s="23" t="n">
        <v>-960</v>
      </c>
    </row>
    <row r="1635">
      <c r="A1635" s="18" t="n">
        <v>1634</v>
      </c>
      <c r="B1635" s="23" t="n">
        <v>-600</v>
      </c>
    </row>
    <row r="1636">
      <c r="A1636" s="18" t="n">
        <v>1635</v>
      </c>
      <c r="B1636" s="23" t="n">
        <v>-680</v>
      </c>
    </row>
    <row r="1637">
      <c r="A1637" s="18" t="n">
        <v>1636</v>
      </c>
      <c r="B1637" s="23" t="n">
        <v>-920</v>
      </c>
    </row>
    <row r="1638">
      <c r="A1638" s="18" t="n">
        <v>1637</v>
      </c>
      <c r="B1638" s="23" t="n">
        <v>-760</v>
      </c>
    </row>
    <row r="1639">
      <c r="A1639" s="18" t="n">
        <v>1638</v>
      </c>
      <c r="B1639" s="23" t="n">
        <v>-1160</v>
      </c>
    </row>
    <row r="1640">
      <c r="A1640" s="18" t="n">
        <v>1639</v>
      </c>
      <c r="B1640" s="23" t="n">
        <v>-920</v>
      </c>
    </row>
    <row r="1641">
      <c r="A1641" s="18" t="n">
        <v>1640</v>
      </c>
      <c r="B1641" s="23" t="n">
        <v>-480</v>
      </c>
    </row>
    <row r="1642">
      <c r="A1642" s="18" t="n">
        <v>1641</v>
      </c>
      <c r="B1642" s="23" t="n">
        <v>-280</v>
      </c>
    </row>
    <row r="1643">
      <c r="A1643" s="18" t="n">
        <v>1642</v>
      </c>
      <c r="B1643" s="23" t="n">
        <v>0</v>
      </c>
    </row>
    <row r="1644">
      <c r="A1644" s="18" t="n">
        <v>1643</v>
      </c>
      <c r="B1644" s="23" t="n">
        <v>-440</v>
      </c>
    </row>
    <row r="1645">
      <c r="A1645" s="18" t="n">
        <v>1644</v>
      </c>
      <c r="B1645" s="23" t="n">
        <v>-920</v>
      </c>
    </row>
    <row r="1646">
      <c r="A1646" s="18" t="n">
        <v>1645</v>
      </c>
      <c r="B1646" s="23" t="n">
        <v>-1240</v>
      </c>
    </row>
    <row r="1647">
      <c r="A1647" s="18" t="n">
        <v>1646</v>
      </c>
      <c r="B1647" s="23" t="n">
        <v>-600</v>
      </c>
    </row>
    <row r="1648">
      <c r="A1648" s="18" t="n">
        <v>1647</v>
      </c>
      <c r="B1648" s="23" t="n">
        <v>-760</v>
      </c>
    </row>
    <row r="1649">
      <c r="A1649" s="18" t="n">
        <v>1648</v>
      </c>
      <c r="B1649" s="23" t="n">
        <v>-640</v>
      </c>
    </row>
    <row r="1650">
      <c r="A1650" s="18" t="n">
        <v>1649</v>
      </c>
      <c r="B1650" s="23" t="n">
        <v>-800</v>
      </c>
    </row>
    <row r="1651">
      <c r="A1651" s="18" t="n">
        <v>1650</v>
      </c>
      <c r="B1651" s="23" t="n">
        <v>-400</v>
      </c>
    </row>
    <row r="1652">
      <c r="A1652" s="18" t="n">
        <v>1651</v>
      </c>
      <c r="B1652" s="23" t="n">
        <v>-960</v>
      </c>
    </row>
    <row r="1653">
      <c r="A1653" s="18" t="n">
        <v>1652</v>
      </c>
      <c r="B1653" s="23" t="n">
        <v>-800</v>
      </c>
    </row>
    <row r="1654">
      <c r="A1654" s="18" t="n">
        <v>1653</v>
      </c>
      <c r="B1654" s="23" t="n">
        <v>-640</v>
      </c>
    </row>
    <row r="1655">
      <c r="A1655" s="18" t="n">
        <v>1654</v>
      </c>
      <c r="B1655" s="23" t="n">
        <v>-1040</v>
      </c>
    </row>
    <row r="1656">
      <c r="A1656" s="18" t="n">
        <v>1655</v>
      </c>
      <c r="B1656" s="23" t="n">
        <v>-480</v>
      </c>
    </row>
    <row r="1657">
      <c r="A1657" s="18" t="n">
        <v>1656</v>
      </c>
      <c r="B1657" s="23" t="n">
        <v>-1520</v>
      </c>
    </row>
    <row r="1658">
      <c r="A1658" s="18" t="n">
        <v>1657</v>
      </c>
      <c r="B1658" s="23" t="n">
        <v>-280</v>
      </c>
    </row>
    <row r="1659">
      <c r="A1659" s="18" t="n">
        <v>1658</v>
      </c>
      <c r="B1659" s="23" t="n">
        <v>-840</v>
      </c>
    </row>
    <row r="1660">
      <c r="A1660" s="18" t="n">
        <v>1659</v>
      </c>
      <c r="B1660" s="23" t="n">
        <v>440</v>
      </c>
    </row>
    <row r="1661">
      <c r="A1661" s="18" t="n">
        <v>1660</v>
      </c>
      <c r="B1661" s="23" t="n">
        <v>-720</v>
      </c>
    </row>
    <row r="1662">
      <c r="A1662" s="18" t="n">
        <v>1661</v>
      </c>
      <c r="B1662" s="23" t="n">
        <v>-560</v>
      </c>
    </row>
    <row r="1663">
      <c r="A1663" s="18" t="n">
        <v>1662</v>
      </c>
      <c r="B1663" s="23" t="n">
        <v>-1040</v>
      </c>
    </row>
    <row r="1664">
      <c r="A1664" s="18" t="n">
        <v>1663</v>
      </c>
      <c r="B1664" s="23" t="n">
        <v>-960</v>
      </c>
    </row>
    <row r="1665">
      <c r="A1665" s="18" t="n">
        <v>1664</v>
      </c>
      <c r="B1665" s="23" t="n">
        <v>-920</v>
      </c>
    </row>
    <row r="1666">
      <c r="A1666" s="18" t="n">
        <v>1665</v>
      </c>
      <c r="B1666" s="23" t="n">
        <v>-280</v>
      </c>
    </row>
    <row r="1667">
      <c r="A1667" s="18" t="n">
        <v>1666</v>
      </c>
      <c r="B1667" s="23" t="n">
        <v>-400</v>
      </c>
    </row>
    <row r="1668">
      <c r="A1668" s="18" t="n">
        <v>1667</v>
      </c>
      <c r="B1668" s="23" t="n">
        <v>-1600</v>
      </c>
    </row>
    <row r="1669">
      <c r="A1669" s="18" t="n">
        <v>1668</v>
      </c>
      <c r="B1669" s="23" t="n">
        <v>240</v>
      </c>
    </row>
    <row r="1670">
      <c r="A1670" s="18" t="n">
        <v>1669</v>
      </c>
      <c r="B1670" s="23" t="n">
        <v>-480</v>
      </c>
    </row>
    <row r="1671">
      <c r="A1671" s="18" t="n">
        <v>1670</v>
      </c>
      <c r="B1671" s="23" t="n">
        <v>-1120</v>
      </c>
    </row>
    <row r="1672">
      <c r="A1672" s="18" t="n">
        <v>1671</v>
      </c>
      <c r="B1672" s="23" t="n">
        <v>-640</v>
      </c>
    </row>
    <row r="1673">
      <c r="A1673" s="18" t="n">
        <v>1672</v>
      </c>
      <c r="B1673" s="23" t="n">
        <v>-1760</v>
      </c>
    </row>
    <row r="1674">
      <c r="A1674" s="18" t="n">
        <v>1673</v>
      </c>
      <c r="B1674" s="23" t="n">
        <v>-480</v>
      </c>
    </row>
    <row r="1675">
      <c r="A1675" s="18" t="n">
        <v>1674</v>
      </c>
      <c r="B1675" s="23" t="n">
        <v>-160</v>
      </c>
    </row>
    <row r="1676">
      <c r="A1676" s="18" t="n">
        <v>1675</v>
      </c>
      <c r="B1676" s="23" t="n">
        <v>-120</v>
      </c>
    </row>
    <row r="1677">
      <c r="A1677" s="18" t="n">
        <v>1676</v>
      </c>
      <c r="B1677" s="23" t="n">
        <v>-1160</v>
      </c>
    </row>
    <row r="1678">
      <c r="A1678" s="18" t="n">
        <v>1677</v>
      </c>
      <c r="B1678" s="23" t="n">
        <v>-680</v>
      </c>
    </row>
    <row r="1679">
      <c r="A1679" s="18" t="n">
        <v>1678</v>
      </c>
      <c r="B1679" s="23" t="n">
        <v>-1720</v>
      </c>
    </row>
    <row r="1680">
      <c r="A1680" s="18" t="n">
        <v>1679</v>
      </c>
      <c r="B1680" s="23" t="n">
        <v>-880</v>
      </c>
    </row>
    <row r="1681">
      <c r="A1681" s="18" t="n">
        <v>1680</v>
      </c>
      <c r="B1681" s="23" t="n">
        <v>-1080</v>
      </c>
    </row>
    <row r="1682">
      <c r="A1682" s="18" t="n">
        <v>1681</v>
      </c>
      <c r="B1682" s="23" t="n">
        <v>-400</v>
      </c>
    </row>
    <row r="1683">
      <c r="A1683" s="18" t="n">
        <v>1682</v>
      </c>
      <c r="B1683" s="23" t="n">
        <v>-840</v>
      </c>
    </row>
    <row r="1684">
      <c r="A1684" s="18" t="n">
        <v>1683</v>
      </c>
      <c r="B1684" s="23" t="n">
        <v>240</v>
      </c>
    </row>
    <row r="1685">
      <c r="A1685" s="18" t="n">
        <v>1684</v>
      </c>
      <c r="B1685" s="23" t="n">
        <v>-760</v>
      </c>
    </row>
    <row r="1686">
      <c r="A1686" s="18" t="n">
        <v>1685</v>
      </c>
      <c r="B1686" s="23" t="n">
        <v>-80</v>
      </c>
    </row>
    <row r="1687">
      <c r="A1687" s="18" t="n">
        <v>1686</v>
      </c>
      <c r="B1687" s="23" t="n">
        <v>-360</v>
      </c>
    </row>
    <row r="1688">
      <c r="A1688" s="18" t="n">
        <v>1687</v>
      </c>
      <c r="B1688" s="23" t="n">
        <v>200</v>
      </c>
    </row>
    <row r="1689">
      <c r="A1689" s="18" t="n">
        <v>1688</v>
      </c>
      <c r="B1689" s="23" t="n">
        <v>-320</v>
      </c>
    </row>
    <row r="1690">
      <c r="A1690" s="18" t="n">
        <v>1689</v>
      </c>
      <c r="B1690" s="23" t="n">
        <v>-400</v>
      </c>
    </row>
    <row r="1691">
      <c r="A1691" s="18" t="n">
        <v>1690</v>
      </c>
      <c r="B1691" s="23" t="n">
        <v>-760</v>
      </c>
    </row>
    <row r="1692">
      <c r="A1692" s="18" t="n">
        <v>1691</v>
      </c>
      <c r="B1692" s="23" t="n">
        <v>-1200</v>
      </c>
    </row>
    <row r="1693">
      <c r="A1693" s="18" t="n">
        <v>1692</v>
      </c>
      <c r="B1693" s="23" t="n">
        <v>-960</v>
      </c>
    </row>
    <row r="1694">
      <c r="A1694" s="18" t="n">
        <v>1693</v>
      </c>
      <c r="B1694" s="23" t="n">
        <v>-200</v>
      </c>
    </row>
    <row r="1695">
      <c r="A1695" s="18" t="n">
        <v>1694</v>
      </c>
      <c r="B1695" s="23" t="n">
        <v>-400</v>
      </c>
    </row>
    <row r="1696">
      <c r="A1696" s="18" t="n">
        <v>1695</v>
      </c>
      <c r="B1696" s="23" t="n">
        <v>-640</v>
      </c>
    </row>
    <row r="1697">
      <c r="A1697" s="18" t="n">
        <v>1696</v>
      </c>
      <c r="B1697" s="23" t="n">
        <v>-320</v>
      </c>
    </row>
    <row r="1698">
      <c r="A1698" s="18" t="n">
        <v>1697</v>
      </c>
      <c r="B1698" s="23" t="n">
        <v>-480</v>
      </c>
    </row>
    <row r="1699">
      <c r="A1699" s="18" t="n">
        <v>1698</v>
      </c>
      <c r="B1699" s="23" t="n">
        <v>-760</v>
      </c>
    </row>
    <row r="1700">
      <c r="A1700" s="18" t="n">
        <v>1699</v>
      </c>
      <c r="B1700" s="23" t="n">
        <v>-480</v>
      </c>
    </row>
    <row r="1701">
      <c r="A1701" s="18" t="n">
        <v>1700</v>
      </c>
      <c r="B1701" s="23" t="n">
        <v>-760</v>
      </c>
    </row>
    <row r="1702">
      <c r="A1702" s="18" t="n">
        <v>1701</v>
      </c>
      <c r="B1702" s="23" t="n">
        <v>-680</v>
      </c>
    </row>
    <row r="1703">
      <c r="A1703" s="18" t="n">
        <v>1702</v>
      </c>
      <c r="B1703" s="23" t="n">
        <v>-520</v>
      </c>
    </row>
    <row r="1704">
      <c r="A1704" s="18" t="n">
        <v>1703</v>
      </c>
      <c r="B1704" s="23" t="n">
        <v>-40</v>
      </c>
    </row>
    <row r="1705">
      <c r="A1705" s="18" t="n">
        <v>1704</v>
      </c>
      <c r="B1705" s="23" t="n">
        <v>-520</v>
      </c>
    </row>
    <row r="1706">
      <c r="A1706" s="18" t="n">
        <v>1705</v>
      </c>
      <c r="B1706" s="23" t="n">
        <v>-1600</v>
      </c>
    </row>
    <row r="1707">
      <c r="A1707" s="18" t="n">
        <v>1706</v>
      </c>
      <c r="B1707" s="23" t="n">
        <v>-1840</v>
      </c>
    </row>
    <row r="1708">
      <c r="A1708" s="18" t="n">
        <v>1707</v>
      </c>
      <c r="B1708" s="23" t="n">
        <v>-800</v>
      </c>
    </row>
    <row r="1709">
      <c r="A1709" s="18" t="n">
        <v>1708</v>
      </c>
      <c r="B1709" s="23" t="n">
        <v>-1480</v>
      </c>
    </row>
    <row r="1710">
      <c r="A1710" s="18" t="n">
        <v>1709</v>
      </c>
      <c r="B1710" s="23" t="n">
        <v>-160</v>
      </c>
    </row>
    <row r="1711">
      <c r="A1711" s="18" t="n">
        <v>1710</v>
      </c>
      <c r="B1711" s="23" t="n">
        <v>-840</v>
      </c>
    </row>
    <row r="1712">
      <c r="A1712" s="18" t="n">
        <v>1711</v>
      </c>
      <c r="B1712" s="23" t="n">
        <v>-760</v>
      </c>
    </row>
    <row r="1713">
      <c r="A1713" s="18" t="n">
        <v>1712</v>
      </c>
      <c r="B1713" s="23" t="n">
        <v>-720</v>
      </c>
    </row>
    <row r="1714">
      <c r="A1714" s="18" t="n">
        <v>1713</v>
      </c>
      <c r="B1714" s="23" t="n">
        <v>-400</v>
      </c>
    </row>
    <row r="1715">
      <c r="A1715" s="18" t="n">
        <v>1714</v>
      </c>
      <c r="B1715" s="23" t="n">
        <v>-960</v>
      </c>
    </row>
    <row r="1716">
      <c r="A1716" s="18" t="n">
        <v>1715</v>
      </c>
      <c r="B1716" s="23" t="n">
        <v>-760</v>
      </c>
    </row>
    <row r="1717">
      <c r="A1717" s="18" t="n">
        <v>1716</v>
      </c>
      <c r="B1717" s="23" t="n">
        <v>-1240</v>
      </c>
    </row>
    <row r="1718">
      <c r="A1718" s="18" t="n">
        <v>1717</v>
      </c>
      <c r="B1718" s="23" t="n">
        <v>-40</v>
      </c>
    </row>
    <row r="1719">
      <c r="A1719" s="18" t="n">
        <v>1718</v>
      </c>
      <c r="B1719" s="23" t="n">
        <v>-800</v>
      </c>
    </row>
    <row r="1720">
      <c r="A1720" s="18" t="n">
        <v>1719</v>
      </c>
      <c r="B1720" s="23" t="n">
        <v>-600</v>
      </c>
    </row>
    <row r="1721">
      <c r="A1721" s="18" t="n">
        <v>1720</v>
      </c>
      <c r="B1721" s="23" t="n">
        <v>-560</v>
      </c>
    </row>
    <row r="1722">
      <c r="A1722" s="18" t="n">
        <v>1721</v>
      </c>
      <c r="B1722" s="23" t="n">
        <v>-600</v>
      </c>
    </row>
    <row r="1723">
      <c r="A1723" s="18" t="n">
        <v>1722</v>
      </c>
      <c r="B1723" s="23" t="n">
        <v>-1120</v>
      </c>
    </row>
    <row r="1724">
      <c r="A1724" s="18" t="n">
        <v>1723</v>
      </c>
      <c r="B1724" s="23" t="n">
        <v>-1680</v>
      </c>
    </row>
    <row r="1725">
      <c r="A1725" s="18" t="n">
        <v>1724</v>
      </c>
      <c r="B1725" s="23" t="n">
        <v>-40</v>
      </c>
    </row>
    <row r="1726">
      <c r="A1726" s="18" t="n">
        <v>1725</v>
      </c>
      <c r="B1726" s="23" t="n">
        <v>-640</v>
      </c>
    </row>
    <row r="1727">
      <c r="A1727" s="18" t="n">
        <v>1726</v>
      </c>
      <c r="B1727" s="23" t="n">
        <v>320</v>
      </c>
    </row>
    <row r="1728">
      <c r="A1728" s="18" t="n">
        <v>1727</v>
      </c>
      <c r="B1728" s="23" t="n">
        <v>-760</v>
      </c>
    </row>
    <row r="1729">
      <c r="A1729" s="18" t="n">
        <v>1728</v>
      </c>
      <c r="B1729" s="23" t="n">
        <v>-440</v>
      </c>
    </row>
    <row r="1730">
      <c r="A1730" s="18" t="n">
        <v>1729</v>
      </c>
      <c r="B1730" s="23" t="n">
        <v>-960</v>
      </c>
    </row>
    <row r="1731">
      <c r="A1731" s="18" t="n">
        <v>1730</v>
      </c>
      <c r="B1731" s="23" t="n">
        <v>-320</v>
      </c>
    </row>
    <row r="1732">
      <c r="A1732" s="18" t="n">
        <v>1731</v>
      </c>
      <c r="B1732" s="23" t="n">
        <v>-720</v>
      </c>
    </row>
    <row r="1733">
      <c r="A1733" s="18" t="n">
        <v>1732</v>
      </c>
      <c r="B1733" s="23" t="n">
        <v>-440</v>
      </c>
    </row>
    <row r="1734">
      <c r="A1734" s="18" t="n">
        <v>1733</v>
      </c>
      <c r="B1734" s="23" t="n">
        <v>-120</v>
      </c>
    </row>
    <row r="1735">
      <c r="A1735" s="18" t="n">
        <v>1734</v>
      </c>
      <c r="B1735" s="23" t="n">
        <v>-680</v>
      </c>
    </row>
    <row r="1736">
      <c r="A1736" s="18" t="n">
        <v>1735</v>
      </c>
      <c r="B1736" s="23" t="n">
        <v>-280</v>
      </c>
    </row>
    <row r="1737">
      <c r="A1737" s="18" t="n">
        <v>1736</v>
      </c>
      <c r="B1737" s="23" t="n">
        <v>-880</v>
      </c>
    </row>
    <row r="1738">
      <c r="A1738" s="18" t="n">
        <v>1737</v>
      </c>
      <c r="B1738" s="23" t="n">
        <v>-1000</v>
      </c>
    </row>
    <row r="1739">
      <c r="A1739" s="18" t="n">
        <v>1738</v>
      </c>
      <c r="B1739" s="23" t="n">
        <v>-1080</v>
      </c>
    </row>
    <row r="1740">
      <c r="A1740" s="18" t="n">
        <v>1739</v>
      </c>
      <c r="B1740" s="23" t="n">
        <v>-400</v>
      </c>
    </row>
    <row r="1741">
      <c r="A1741" s="18" t="n">
        <v>1740</v>
      </c>
      <c r="B1741" s="23" t="n">
        <v>-1440</v>
      </c>
    </row>
    <row r="1742">
      <c r="A1742" s="18" t="n">
        <v>1741</v>
      </c>
      <c r="B1742" s="23" t="n">
        <v>-560</v>
      </c>
    </row>
    <row r="1743">
      <c r="A1743" s="18" t="n">
        <v>1742</v>
      </c>
      <c r="B1743" s="23" t="n">
        <v>-600</v>
      </c>
    </row>
    <row r="1744">
      <c r="A1744" s="18" t="n">
        <v>1743</v>
      </c>
      <c r="B1744" s="23" t="n">
        <v>-480</v>
      </c>
    </row>
    <row r="1745">
      <c r="A1745" s="18" t="n">
        <v>1744</v>
      </c>
      <c r="B1745" s="23" t="n">
        <v>-640</v>
      </c>
    </row>
    <row r="1746">
      <c r="A1746" s="18" t="n">
        <v>1745</v>
      </c>
      <c r="B1746" s="23" t="n">
        <v>-840</v>
      </c>
    </row>
    <row r="1747">
      <c r="A1747" s="18" t="n">
        <v>1746</v>
      </c>
      <c r="B1747" s="23" t="n">
        <v>-560</v>
      </c>
    </row>
    <row r="1748">
      <c r="A1748" s="18" t="n">
        <v>1747</v>
      </c>
      <c r="B1748" s="23" t="n">
        <v>-880</v>
      </c>
    </row>
    <row r="1749">
      <c r="A1749" s="18" t="n">
        <v>1748</v>
      </c>
      <c r="B1749" s="23" t="n">
        <v>-1360</v>
      </c>
    </row>
    <row r="1750">
      <c r="A1750" s="18" t="n">
        <v>1749</v>
      </c>
      <c r="B1750" s="23" t="n">
        <v>-80</v>
      </c>
    </row>
    <row r="1751">
      <c r="A1751" s="18" t="n">
        <v>1750</v>
      </c>
      <c r="B1751" s="23" t="n">
        <v>-1320</v>
      </c>
    </row>
    <row r="1752">
      <c r="A1752" s="18" t="n">
        <v>1751</v>
      </c>
      <c r="B1752" s="23" t="n">
        <v>-200</v>
      </c>
    </row>
    <row r="1753">
      <c r="A1753" s="18" t="n">
        <v>1752</v>
      </c>
      <c r="B1753" s="23" t="n">
        <v>-600</v>
      </c>
    </row>
    <row r="1754">
      <c r="A1754" s="18" t="n">
        <v>1753</v>
      </c>
      <c r="B1754" s="23" t="n">
        <v>-760</v>
      </c>
    </row>
    <row r="1755">
      <c r="A1755" s="18" t="n">
        <v>1754</v>
      </c>
      <c r="B1755" s="23" t="n">
        <v>-400</v>
      </c>
    </row>
    <row r="1756">
      <c r="A1756" s="18" t="n">
        <v>1755</v>
      </c>
      <c r="B1756" s="23" t="n">
        <v>-1000</v>
      </c>
    </row>
    <row r="1757">
      <c r="A1757" s="18" t="n">
        <v>1756</v>
      </c>
      <c r="B1757" s="23" t="n">
        <v>-320</v>
      </c>
    </row>
    <row r="1758">
      <c r="A1758" s="18" t="n">
        <v>1757</v>
      </c>
      <c r="B1758" s="23" t="n">
        <v>-1080</v>
      </c>
    </row>
    <row r="1759">
      <c r="A1759" s="18" t="n">
        <v>1758</v>
      </c>
      <c r="B1759" s="23" t="n">
        <v>-1360</v>
      </c>
    </row>
    <row r="1760">
      <c r="A1760" s="18" t="n">
        <v>1759</v>
      </c>
      <c r="B1760" s="23" t="n">
        <v>-1200</v>
      </c>
    </row>
    <row r="1761">
      <c r="A1761" s="18" t="n">
        <v>1760</v>
      </c>
      <c r="B1761" s="23" t="n">
        <v>-1240</v>
      </c>
    </row>
    <row r="1762">
      <c r="A1762" s="18" t="n">
        <v>1761</v>
      </c>
      <c r="B1762" s="23" t="n">
        <v>-1400</v>
      </c>
    </row>
    <row r="1763">
      <c r="A1763" s="18" t="n">
        <v>1762</v>
      </c>
      <c r="B1763" s="23" t="n">
        <v>-920</v>
      </c>
    </row>
    <row r="1764">
      <c r="A1764" s="18" t="n">
        <v>1763</v>
      </c>
      <c r="B1764" s="23" t="n">
        <v>-1160</v>
      </c>
    </row>
    <row r="1765">
      <c r="A1765" s="18" t="n">
        <v>1764</v>
      </c>
      <c r="B1765" s="23" t="n">
        <v>-640</v>
      </c>
    </row>
    <row r="1766">
      <c r="A1766" s="18" t="n">
        <v>1765</v>
      </c>
      <c r="B1766" s="23" t="n">
        <v>-800</v>
      </c>
    </row>
    <row r="1767">
      <c r="A1767" s="18" t="n">
        <v>1766</v>
      </c>
      <c r="B1767" s="23" t="n">
        <v>-360</v>
      </c>
    </row>
    <row r="1768">
      <c r="A1768" s="18" t="n">
        <v>1767</v>
      </c>
      <c r="B1768" s="23" t="n">
        <v>-1560</v>
      </c>
    </row>
    <row r="1769">
      <c r="A1769" s="18" t="n">
        <v>1768</v>
      </c>
      <c r="B1769" s="23" t="n">
        <v>240</v>
      </c>
    </row>
    <row r="1770">
      <c r="A1770" s="18" t="n">
        <v>1769</v>
      </c>
      <c r="B1770" s="23" t="n">
        <v>-640</v>
      </c>
    </row>
    <row r="1771">
      <c r="A1771" s="18" t="n">
        <v>1770</v>
      </c>
      <c r="B1771" s="23" t="n">
        <v>-840</v>
      </c>
    </row>
    <row r="1772">
      <c r="A1772" s="18" t="n">
        <v>1771</v>
      </c>
      <c r="B1772" s="23" t="n">
        <v>-600</v>
      </c>
    </row>
    <row r="1773">
      <c r="A1773" s="18" t="n">
        <v>1772</v>
      </c>
      <c r="B1773" s="23" t="n">
        <v>-440</v>
      </c>
    </row>
    <row r="1774">
      <c r="A1774" s="18" t="n">
        <v>1773</v>
      </c>
      <c r="B1774" s="23" t="n">
        <v>-600</v>
      </c>
    </row>
    <row r="1775">
      <c r="A1775" s="18" t="n">
        <v>1774</v>
      </c>
      <c r="B1775" s="23" t="n">
        <v>-560</v>
      </c>
    </row>
    <row r="1776">
      <c r="A1776" s="18" t="n">
        <v>1775</v>
      </c>
      <c r="B1776" s="23" t="n">
        <v>-560</v>
      </c>
    </row>
    <row r="1777">
      <c r="A1777" s="18" t="n">
        <v>1776</v>
      </c>
      <c r="B1777" s="23" t="n">
        <v>-80</v>
      </c>
    </row>
    <row r="1778">
      <c r="A1778" s="18" t="n">
        <v>1777</v>
      </c>
      <c r="B1778" s="23" t="n">
        <v>-760</v>
      </c>
    </row>
    <row r="1779">
      <c r="A1779" s="18" t="n">
        <v>1778</v>
      </c>
      <c r="B1779" s="23" t="n">
        <v>-600</v>
      </c>
    </row>
    <row r="1780">
      <c r="A1780" s="18" t="n">
        <v>1779</v>
      </c>
      <c r="B1780" s="23" t="n">
        <v>80</v>
      </c>
    </row>
    <row r="1781">
      <c r="A1781" s="18" t="n">
        <v>1780</v>
      </c>
      <c r="B1781" s="23" t="n">
        <v>-760</v>
      </c>
    </row>
    <row r="1782">
      <c r="A1782" s="18" t="n">
        <v>1781</v>
      </c>
      <c r="B1782" s="23" t="n">
        <v>-840</v>
      </c>
    </row>
    <row r="1783">
      <c r="A1783" s="18" t="n">
        <v>1782</v>
      </c>
      <c r="B1783" s="23" t="n">
        <v>-1000</v>
      </c>
    </row>
    <row r="1784">
      <c r="A1784" s="18" t="n">
        <v>1783</v>
      </c>
      <c r="B1784" s="23" t="n">
        <v>-360</v>
      </c>
    </row>
    <row r="1785">
      <c r="A1785" s="18" t="n">
        <v>1784</v>
      </c>
      <c r="B1785" s="23" t="n">
        <v>-1240</v>
      </c>
    </row>
    <row r="1786">
      <c r="A1786" s="18" t="n">
        <v>1785</v>
      </c>
      <c r="B1786" s="23" t="n">
        <v>-280</v>
      </c>
    </row>
    <row r="1787">
      <c r="A1787" s="18" t="n">
        <v>1786</v>
      </c>
      <c r="B1787" s="23" t="n">
        <v>-360</v>
      </c>
    </row>
    <row r="1788">
      <c r="A1788" s="18" t="n">
        <v>1787</v>
      </c>
      <c r="B1788" s="23" t="n">
        <v>-760</v>
      </c>
    </row>
    <row r="1789">
      <c r="A1789" s="18" t="n">
        <v>1788</v>
      </c>
      <c r="B1789" s="23" t="n">
        <v>-680</v>
      </c>
    </row>
    <row r="1790">
      <c r="A1790" s="18" t="n">
        <v>1789</v>
      </c>
      <c r="B1790" s="23" t="n">
        <v>-680</v>
      </c>
    </row>
    <row r="1791">
      <c r="A1791" s="18" t="n">
        <v>1790</v>
      </c>
      <c r="B1791" s="23" t="n">
        <v>-400</v>
      </c>
    </row>
    <row r="1792">
      <c r="A1792" s="18" t="n">
        <v>1791</v>
      </c>
      <c r="B1792" s="23" t="n">
        <v>160</v>
      </c>
    </row>
    <row r="1793">
      <c r="A1793" s="18" t="n">
        <v>1792</v>
      </c>
      <c r="B1793" s="23" t="n">
        <v>-520</v>
      </c>
    </row>
    <row r="1794">
      <c r="A1794" s="18" t="n">
        <v>1793</v>
      </c>
      <c r="B1794" s="23" t="n">
        <v>-40</v>
      </c>
    </row>
    <row r="1795">
      <c r="A1795" s="18" t="n">
        <v>1794</v>
      </c>
      <c r="B1795" s="23" t="n">
        <v>-640</v>
      </c>
    </row>
    <row r="1796">
      <c r="A1796" s="18" t="n">
        <v>1795</v>
      </c>
      <c r="B1796" s="23" t="n">
        <v>-1200</v>
      </c>
    </row>
    <row r="1797">
      <c r="A1797" s="18" t="n">
        <v>1796</v>
      </c>
      <c r="B1797" s="23" t="n">
        <v>-520</v>
      </c>
    </row>
    <row r="1798">
      <c r="A1798" s="18" t="n">
        <v>1797</v>
      </c>
      <c r="B1798" s="23" t="n">
        <v>-1640</v>
      </c>
    </row>
    <row r="1799">
      <c r="A1799" s="18" t="n">
        <v>1798</v>
      </c>
      <c r="B1799" s="23" t="n">
        <v>-680</v>
      </c>
    </row>
    <row r="1800">
      <c r="A1800" s="18" t="n">
        <v>1799</v>
      </c>
      <c r="B1800" s="23" t="n">
        <v>-800</v>
      </c>
    </row>
    <row r="1801">
      <c r="A1801" s="18" t="n">
        <v>1800</v>
      </c>
      <c r="B1801" s="23" t="n">
        <v>-440</v>
      </c>
    </row>
    <row r="1802">
      <c r="A1802" s="18" t="n">
        <v>1801</v>
      </c>
      <c r="B1802" s="23" t="n">
        <v>-200</v>
      </c>
    </row>
    <row r="1803">
      <c r="A1803" s="18" t="n">
        <v>1802</v>
      </c>
      <c r="B1803" s="23" t="n">
        <v>-640</v>
      </c>
    </row>
    <row r="1804">
      <c r="A1804" s="18" t="n">
        <v>1803</v>
      </c>
      <c r="B1804" s="23" t="n">
        <v>-1600</v>
      </c>
    </row>
    <row r="1805">
      <c r="A1805" s="18" t="n">
        <v>1804</v>
      </c>
      <c r="B1805" s="23" t="n">
        <v>-440</v>
      </c>
    </row>
    <row r="1806">
      <c r="A1806" s="18" t="n">
        <v>1805</v>
      </c>
      <c r="B1806" s="23" t="n">
        <v>-1160</v>
      </c>
    </row>
    <row r="1807">
      <c r="A1807" s="18" t="n">
        <v>1806</v>
      </c>
      <c r="B1807" s="23" t="n">
        <v>-520</v>
      </c>
    </row>
    <row r="1808">
      <c r="A1808" s="18" t="n">
        <v>1807</v>
      </c>
      <c r="B1808" s="23" t="n">
        <v>-880</v>
      </c>
    </row>
    <row r="1809">
      <c r="A1809" s="18" t="n">
        <v>1808</v>
      </c>
      <c r="B1809" s="23" t="n">
        <v>-760</v>
      </c>
    </row>
    <row r="1810">
      <c r="A1810" s="18" t="n">
        <v>1809</v>
      </c>
      <c r="B1810" s="23" t="n">
        <v>80</v>
      </c>
    </row>
    <row r="1811">
      <c r="A1811" s="18" t="n">
        <v>1810</v>
      </c>
      <c r="B1811" s="23" t="n">
        <v>-960</v>
      </c>
    </row>
    <row r="1812">
      <c r="A1812" s="18" t="n">
        <v>1811</v>
      </c>
      <c r="B1812" s="23" t="n">
        <v>-1000</v>
      </c>
    </row>
    <row r="1813">
      <c r="A1813" s="18" t="n">
        <v>1812</v>
      </c>
      <c r="B1813" s="23" t="n">
        <v>-1080</v>
      </c>
    </row>
    <row r="1814">
      <c r="A1814" s="18" t="n">
        <v>1813</v>
      </c>
      <c r="B1814" s="23" t="n">
        <v>-960</v>
      </c>
    </row>
    <row r="1815">
      <c r="A1815" s="18" t="n">
        <v>1814</v>
      </c>
      <c r="B1815" s="23" t="n">
        <v>-440</v>
      </c>
    </row>
    <row r="1816">
      <c r="A1816" s="18" t="n">
        <v>1815</v>
      </c>
      <c r="B1816" s="23" t="n">
        <v>-680</v>
      </c>
    </row>
    <row r="1817">
      <c r="A1817" s="18" t="n">
        <v>1816</v>
      </c>
      <c r="B1817" s="23" t="n">
        <v>-280</v>
      </c>
    </row>
    <row r="1818">
      <c r="A1818" s="18" t="n">
        <v>1817</v>
      </c>
      <c r="B1818" s="23" t="n">
        <v>-840</v>
      </c>
    </row>
    <row r="1819">
      <c r="A1819" s="18" t="n">
        <v>1818</v>
      </c>
      <c r="B1819" s="23" t="n">
        <v>-760</v>
      </c>
    </row>
    <row r="1820">
      <c r="A1820" s="18" t="n">
        <v>1819</v>
      </c>
      <c r="B1820" s="23" t="n">
        <v>-360</v>
      </c>
    </row>
    <row r="1821">
      <c r="A1821" s="18" t="n">
        <v>1820</v>
      </c>
      <c r="B1821" s="23" t="n">
        <v>-760</v>
      </c>
    </row>
    <row r="1822">
      <c r="A1822" s="18" t="n">
        <v>1821</v>
      </c>
      <c r="B1822" s="23" t="n">
        <v>120</v>
      </c>
    </row>
    <row r="1823">
      <c r="A1823" s="18" t="n">
        <v>1822</v>
      </c>
      <c r="B1823" s="23" t="n">
        <v>-840</v>
      </c>
    </row>
    <row r="1824">
      <c r="A1824" s="18" t="n">
        <v>1823</v>
      </c>
      <c r="B1824" s="23" t="n">
        <v>-1120</v>
      </c>
    </row>
    <row r="1825">
      <c r="A1825" s="18" t="n">
        <v>1824</v>
      </c>
      <c r="B1825" s="23" t="n">
        <v>-840</v>
      </c>
    </row>
    <row r="1826">
      <c r="A1826" s="18" t="n">
        <v>1825</v>
      </c>
      <c r="B1826" s="23" t="n">
        <v>-800</v>
      </c>
    </row>
    <row r="1827">
      <c r="A1827" s="18" t="n">
        <v>1826</v>
      </c>
      <c r="B1827" s="23" t="n">
        <v>240</v>
      </c>
    </row>
    <row r="1828">
      <c r="A1828" s="18" t="n">
        <v>1827</v>
      </c>
      <c r="B1828" s="23" t="n">
        <v>-240</v>
      </c>
    </row>
    <row r="1829">
      <c r="A1829" s="18" t="n">
        <v>1828</v>
      </c>
      <c r="B1829" s="23" t="n">
        <v>-440</v>
      </c>
    </row>
    <row r="1830">
      <c r="A1830" s="18" t="n">
        <v>1829</v>
      </c>
      <c r="B1830" s="23" t="n">
        <v>-600</v>
      </c>
    </row>
    <row r="1831">
      <c r="A1831" s="18" t="n">
        <v>1830</v>
      </c>
      <c r="B1831" s="23" t="n">
        <v>-1200</v>
      </c>
    </row>
    <row r="1832">
      <c r="A1832" s="18" t="n">
        <v>1831</v>
      </c>
      <c r="B1832" s="23" t="n">
        <v>-1200</v>
      </c>
    </row>
    <row r="1833">
      <c r="A1833" s="18" t="n">
        <v>1832</v>
      </c>
      <c r="B1833" s="23" t="n">
        <v>-1120</v>
      </c>
    </row>
    <row r="1834">
      <c r="A1834" s="18" t="n">
        <v>1833</v>
      </c>
      <c r="B1834" s="23" t="n">
        <v>240</v>
      </c>
    </row>
    <row r="1835">
      <c r="A1835" s="18" t="n">
        <v>1834</v>
      </c>
      <c r="B1835" s="23" t="n">
        <v>-880</v>
      </c>
    </row>
    <row r="1836">
      <c r="A1836" s="18" t="n">
        <v>1835</v>
      </c>
      <c r="B1836" s="23" t="n">
        <v>-960</v>
      </c>
    </row>
    <row r="1837">
      <c r="A1837" s="18" t="n">
        <v>1836</v>
      </c>
      <c r="B1837" s="23" t="n">
        <v>-680</v>
      </c>
    </row>
    <row r="1838">
      <c r="A1838" s="18" t="n">
        <v>1837</v>
      </c>
      <c r="B1838" s="23" t="n">
        <v>-240</v>
      </c>
    </row>
    <row r="1839">
      <c r="A1839" s="18" t="n">
        <v>1838</v>
      </c>
      <c r="B1839" s="23" t="n">
        <v>-360</v>
      </c>
    </row>
    <row r="1840">
      <c r="A1840" s="18" t="n">
        <v>1839</v>
      </c>
      <c r="B1840" s="23" t="n">
        <v>120</v>
      </c>
    </row>
    <row r="1841">
      <c r="A1841" s="18" t="n">
        <v>1840</v>
      </c>
      <c r="B1841" s="23" t="n">
        <v>40</v>
      </c>
    </row>
    <row r="1842">
      <c r="A1842" s="18" t="n">
        <v>1841</v>
      </c>
      <c r="B1842" s="23" t="n">
        <v>-720</v>
      </c>
    </row>
    <row r="1843">
      <c r="A1843" s="18" t="n">
        <v>1842</v>
      </c>
      <c r="B1843" s="23" t="n">
        <v>-1120</v>
      </c>
    </row>
    <row r="1844">
      <c r="A1844" s="18" t="n">
        <v>1843</v>
      </c>
      <c r="B1844" s="23" t="n">
        <v>-560</v>
      </c>
    </row>
    <row r="1845">
      <c r="A1845" s="18" t="n">
        <v>1844</v>
      </c>
      <c r="B1845" s="23" t="n">
        <v>-240</v>
      </c>
    </row>
    <row r="1846">
      <c r="A1846" s="18" t="n">
        <v>1845</v>
      </c>
      <c r="B1846" s="23" t="n">
        <v>-1280</v>
      </c>
    </row>
    <row r="1847">
      <c r="A1847" s="18" t="n">
        <v>1846</v>
      </c>
      <c r="B1847" s="23" t="n">
        <v>-400</v>
      </c>
    </row>
    <row r="1848">
      <c r="A1848" s="18" t="n">
        <v>1847</v>
      </c>
      <c r="B1848" s="23" t="n">
        <v>-1360</v>
      </c>
    </row>
    <row r="1849">
      <c r="A1849" s="18" t="n">
        <v>1848</v>
      </c>
      <c r="B1849" s="23" t="n">
        <v>-400</v>
      </c>
    </row>
    <row r="1850">
      <c r="A1850" s="18" t="n">
        <v>1849</v>
      </c>
      <c r="B1850" s="23" t="n">
        <v>-120</v>
      </c>
    </row>
    <row r="1851">
      <c r="A1851" s="18" t="n">
        <v>1850</v>
      </c>
      <c r="B1851" s="23" t="n">
        <v>-520</v>
      </c>
    </row>
    <row r="1852">
      <c r="A1852" s="18" t="n">
        <v>1851</v>
      </c>
      <c r="B1852" s="23" t="n">
        <v>-240</v>
      </c>
    </row>
    <row r="1853">
      <c r="A1853" s="18" t="n">
        <v>1852</v>
      </c>
      <c r="B1853" s="23" t="n">
        <v>-480</v>
      </c>
    </row>
    <row r="1854">
      <c r="A1854" s="18" t="n">
        <v>1853</v>
      </c>
      <c r="B1854" s="23" t="n">
        <v>-640</v>
      </c>
    </row>
    <row r="1855">
      <c r="A1855" s="18" t="n">
        <v>1854</v>
      </c>
      <c r="B1855" s="23" t="n">
        <v>-320</v>
      </c>
    </row>
    <row r="1856">
      <c r="A1856" s="18" t="n">
        <v>1855</v>
      </c>
      <c r="B1856" s="23" t="n">
        <v>-840</v>
      </c>
    </row>
    <row r="1857">
      <c r="A1857" s="18" t="n">
        <v>1856</v>
      </c>
      <c r="B1857" s="23" t="n">
        <v>-1000</v>
      </c>
    </row>
    <row r="1858">
      <c r="A1858" s="18" t="n">
        <v>1857</v>
      </c>
      <c r="B1858" s="23" t="n">
        <v>-1000</v>
      </c>
    </row>
    <row r="1859">
      <c r="A1859" s="18" t="n">
        <v>1858</v>
      </c>
      <c r="B1859" s="23" t="n">
        <v>-640</v>
      </c>
    </row>
    <row r="1860">
      <c r="A1860" s="18" t="n">
        <v>1859</v>
      </c>
      <c r="B1860" s="23" t="n">
        <v>-200</v>
      </c>
    </row>
    <row r="1861">
      <c r="A1861" s="18" t="n">
        <v>1860</v>
      </c>
      <c r="B1861" s="23" t="n">
        <v>-1200</v>
      </c>
    </row>
    <row r="1862">
      <c r="A1862" s="18" t="n">
        <v>1861</v>
      </c>
      <c r="B1862" s="23" t="n">
        <v>-560</v>
      </c>
    </row>
    <row r="1863">
      <c r="A1863" s="18" t="n">
        <v>1862</v>
      </c>
      <c r="B1863" s="23" t="n">
        <v>-560</v>
      </c>
    </row>
    <row r="1864">
      <c r="A1864" s="18" t="n">
        <v>1863</v>
      </c>
      <c r="B1864" s="23" t="n">
        <v>-480</v>
      </c>
    </row>
    <row r="1865">
      <c r="A1865" s="18" t="n">
        <v>1864</v>
      </c>
      <c r="B1865" s="23" t="n">
        <v>-1440</v>
      </c>
    </row>
    <row r="1866">
      <c r="A1866" s="18" t="n">
        <v>1865</v>
      </c>
      <c r="B1866" s="23" t="n">
        <v>-1120</v>
      </c>
    </row>
    <row r="1867">
      <c r="A1867" s="18" t="n">
        <v>1866</v>
      </c>
      <c r="B1867" s="23" t="n">
        <v>-240</v>
      </c>
    </row>
    <row r="1868">
      <c r="A1868" s="18" t="n">
        <v>1867</v>
      </c>
      <c r="B1868" s="23" t="n">
        <v>-600</v>
      </c>
    </row>
    <row r="1869">
      <c r="A1869" s="18" t="n">
        <v>1868</v>
      </c>
      <c r="B1869" s="23" t="n">
        <v>-200</v>
      </c>
    </row>
    <row r="1870">
      <c r="A1870" s="18" t="n">
        <v>1869</v>
      </c>
      <c r="B1870" s="23" t="n">
        <v>-160</v>
      </c>
    </row>
    <row r="1871">
      <c r="A1871" s="18" t="n">
        <v>1870</v>
      </c>
      <c r="B1871" s="23" t="n">
        <v>-720</v>
      </c>
    </row>
    <row r="1872">
      <c r="A1872" s="18" t="n">
        <v>1871</v>
      </c>
      <c r="B1872" s="23" t="n">
        <v>-640</v>
      </c>
    </row>
    <row r="1873">
      <c r="A1873" s="18" t="n">
        <v>1872</v>
      </c>
      <c r="B1873" s="23" t="n">
        <v>-960</v>
      </c>
    </row>
    <row r="1874">
      <c r="A1874" s="18" t="n">
        <v>1873</v>
      </c>
      <c r="B1874" s="23" t="n">
        <v>200</v>
      </c>
    </row>
    <row r="1875">
      <c r="A1875" s="18" t="n">
        <v>1874</v>
      </c>
      <c r="B1875" s="23" t="n">
        <v>-680</v>
      </c>
    </row>
    <row r="1876">
      <c r="A1876" s="18" t="n">
        <v>1875</v>
      </c>
      <c r="B1876" s="23" t="n">
        <v>-760</v>
      </c>
    </row>
    <row r="1877">
      <c r="A1877" s="18" t="n">
        <v>1876</v>
      </c>
      <c r="B1877" s="23" t="n">
        <v>-720</v>
      </c>
    </row>
    <row r="1878">
      <c r="A1878" s="18" t="n">
        <v>1877</v>
      </c>
      <c r="B1878" s="23" t="n">
        <v>-1480</v>
      </c>
    </row>
    <row r="1879">
      <c r="A1879" s="18" t="n">
        <v>1878</v>
      </c>
      <c r="B1879" s="23" t="n">
        <v>-520</v>
      </c>
    </row>
    <row r="1880">
      <c r="A1880" s="18" t="n">
        <v>1879</v>
      </c>
      <c r="B1880" s="23" t="n">
        <v>-320</v>
      </c>
    </row>
    <row r="1881">
      <c r="A1881" s="18" t="n">
        <v>1880</v>
      </c>
      <c r="B1881" s="23" t="n">
        <v>0</v>
      </c>
    </row>
    <row r="1882">
      <c r="A1882" s="18" t="n">
        <v>1881</v>
      </c>
      <c r="B1882" s="23" t="n">
        <v>-640</v>
      </c>
    </row>
    <row r="1883">
      <c r="A1883" s="18" t="n">
        <v>1882</v>
      </c>
      <c r="B1883" s="23" t="n">
        <v>-520</v>
      </c>
    </row>
    <row r="1884">
      <c r="A1884" s="18" t="n">
        <v>1883</v>
      </c>
      <c r="B1884" s="23" t="n">
        <v>-480</v>
      </c>
    </row>
    <row r="1885">
      <c r="A1885" s="18" t="n">
        <v>1884</v>
      </c>
      <c r="B1885" s="23" t="n">
        <v>-480</v>
      </c>
    </row>
    <row r="1886">
      <c r="A1886" s="18" t="n">
        <v>1885</v>
      </c>
      <c r="B1886" s="23" t="n">
        <v>-920</v>
      </c>
    </row>
    <row r="1887">
      <c r="A1887" s="18" t="n">
        <v>1886</v>
      </c>
      <c r="B1887" s="23" t="n">
        <v>-240</v>
      </c>
    </row>
    <row r="1888">
      <c r="A1888" s="18" t="n">
        <v>1887</v>
      </c>
      <c r="B1888" s="23" t="n">
        <v>-1000</v>
      </c>
    </row>
    <row r="1889">
      <c r="A1889" s="18" t="n">
        <v>1888</v>
      </c>
      <c r="B1889" s="23" t="n">
        <v>-1240</v>
      </c>
    </row>
    <row r="1890">
      <c r="A1890" s="18" t="n">
        <v>1889</v>
      </c>
      <c r="B1890" s="23" t="n">
        <v>-1720</v>
      </c>
    </row>
    <row r="1891">
      <c r="A1891" s="18" t="n">
        <v>1890</v>
      </c>
      <c r="B1891" s="23" t="n">
        <v>-840</v>
      </c>
    </row>
    <row r="1892">
      <c r="A1892" s="18" t="n">
        <v>1891</v>
      </c>
      <c r="B1892" s="23" t="n">
        <v>-560</v>
      </c>
    </row>
    <row r="1893">
      <c r="A1893" s="18" t="n">
        <v>1892</v>
      </c>
      <c r="B1893" s="23" t="n">
        <v>-760</v>
      </c>
    </row>
    <row r="1894">
      <c r="A1894" s="18" t="n">
        <v>1893</v>
      </c>
      <c r="B1894" s="23" t="n">
        <v>-520</v>
      </c>
    </row>
    <row r="1895">
      <c r="A1895" s="18" t="n">
        <v>1894</v>
      </c>
      <c r="B1895" s="23" t="n">
        <v>-240</v>
      </c>
    </row>
    <row r="1896">
      <c r="A1896" s="18" t="n">
        <v>1895</v>
      </c>
      <c r="B1896" s="23" t="n">
        <v>-920</v>
      </c>
    </row>
    <row r="1897">
      <c r="A1897" s="18" t="n">
        <v>1896</v>
      </c>
      <c r="B1897" s="23" t="n">
        <v>-640</v>
      </c>
    </row>
    <row r="1898">
      <c r="A1898" s="18" t="n">
        <v>1897</v>
      </c>
      <c r="B1898" s="23" t="n">
        <v>-640</v>
      </c>
    </row>
    <row r="1899">
      <c r="A1899" s="18" t="n">
        <v>1898</v>
      </c>
      <c r="B1899" s="23" t="n">
        <v>0</v>
      </c>
    </row>
    <row r="1900">
      <c r="A1900" s="18" t="n">
        <v>1899</v>
      </c>
      <c r="B1900" s="23" t="n">
        <v>-880</v>
      </c>
    </row>
    <row r="1901">
      <c r="A1901" s="18" t="n">
        <v>1900</v>
      </c>
      <c r="B1901" s="23" t="n">
        <v>-760</v>
      </c>
    </row>
    <row r="1902">
      <c r="A1902" s="18" t="n">
        <v>1901</v>
      </c>
      <c r="B1902" s="23" t="n">
        <v>-960</v>
      </c>
    </row>
    <row r="1903">
      <c r="A1903" s="18" t="n">
        <v>1902</v>
      </c>
      <c r="B1903" s="23" t="n">
        <v>-1560</v>
      </c>
    </row>
    <row r="1904">
      <c r="A1904" s="18" t="n">
        <v>1903</v>
      </c>
      <c r="B1904" s="23" t="n">
        <v>-920</v>
      </c>
    </row>
    <row r="1905">
      <c r="A1905" s="18" t="n">
        <v>1904</v>
      </c>
      <c r="B1905" s="23" t="n">
        <v>-680</v>
      </c>
    </row>
    <row r="1906">
      <c r="A1906" s="18" t="n">
        <v>1905</v>
      </c>
      <c r="B1906" s="23" t="n">
        <v>-80</v>
      </c>
    </row>
    <row r="1907">
      <c r="A1907" s="18" t="n">
        <v>1906</v>
      </c>
      <c r="B1907" s="23" t="n">
        <v>-360</v>
      </c>
    </row>
    <row r="1908">
      <c r="A1908" s="18" t="n">
        <v>1907</v>
      </c>
      <c r="B1908" s="23" t="n">
        <v>-1040</v>
      </c>
    </row>
    <row r="1909">
      <c r="A1909" s="18" t="n">
        <v>1908</v>
      </c>
      <c r="B1909" s="23" t="n">
        <v>-80</v>
      </c>
    </row>
    <row r="1910">
      <c r="A1910" s="18" t="n">
        <v>1909</v>
      </c>
      <c r="B1910" s="23" t="n">
        <v>-280</v>
      </c>
    </row>
    <row r="1911">
      <c r="A1911" s="18" t="n">
        <v>1910</v>
      </c>
      <c r="B1911" s="23" t="n">
        <v>-440</v>
      </c>
    </row>
    <row r="1912">
      <c r="A1912" s="18" t="n">
        <v>1911</v>
      </c>
      <c r="B1912" s="23" t="n">
        <v>-560</v>
      </c>
    </row>
    <row r="1913">
      <c r="A1913" s="18" t="n">
        <v>1912</v>
      </c>
      <c r="B1913" s="23" t="n">
        <v>-560</v>
      </c>
    </row>
    <row r="1914">
      <c r="A1914" s="18" t="n">
        <v>1913</v>
      </c>
      <c r="B1914" s="23" t="n">
        <v>-800</v>
      </c>
    </row>
    <row r="1915">
      <c r="A1915" s="18" t="n">
        <v>1914</v>
      </c>
      <c r="B1915" s="23" t="n">
        <v>-1160</v>
      </c>
    </row>
    <row r="1916">
      <c r="A1916" s="18" t="n">
        <v>1915</v>
      </c>
      <c r="B1916" s="23" t="n">
        <v>-520</v>
      </c>
    </row>
    <row r="1917">
      <c r="A1917" s="18" t="n">
        <v>1916</v>
      </c>
      <c r="B1917" s="23" t="n">
        <v>-880</v>
      </c>
    </row>
    <row r="1918">
      <c r="A1918" s="18" t="n">
        <v>1917</v>
      </c>
      <c r="B1918" s="23" t="n">
        <v>-920</v>
      </c>
    </row>
    <row r="1919">
      <c r="A1919" s="18" t="n">
        <v>1918</v>
      </c>
      <c r="B1919" s="23" t="n">
        <v>-1560</v>
      </c>
    </row>
    <row r="1920">
      <c r="A1920" s="18" t="n">
        <v>1919</v>
      </c>
      <c r="B1920" s="23" t="n">
        <v>-480</v>
      </c>
    </row>
    <row r="1921">
      <c r="A1921" s="18" t="n">
        <v>1920</v>
      </c>
      <c r="B1921" s="23" t="n">
        <v>-680</v>
      </c>
    </row>
    <row r="1922">
      <c r="A1922" s="18" t="n">
        <v>1921</v>
      </c>
      <c r="B1922" s="23" t="n">
        <v>-920</v>
      </c>
    </row>
    <row r="1923">
      <c r="A1923" s="18" t="n">
        <v>1922</v>
      </c>
      <c r="B1923" s="23" t="n">
        <v>-880</v>
      </c>
    </row>
    <row r="1924">
      <c r="A1924" s="18" t="n">
        <v>1923</v>
      </c>
      <c r="B1924" s="23" t="n">
        <v>-640</v>
      </c>
    </row>
    <row r="1925">
      <c r="A1925" s="18" t="n">
        <v>1924</v>
      </c>
      <c r="B1925" s="23" t="n">
        <v>-1000</v>
      </c>
    </row>
    <row r="1926">
      <c r="A1926" s="18" t="n">
        <v>1925</v>
      </c>
      <c r="B1926" s="23" t="n">
        <v>-1600</v>
      </c>
    </row>
    <row r="1927">
      <c r="A1927" s="18" t="n">
        <v>1926</v>
      </c>
      <c r="B1927" s="23" t="n">
        <v>-960</v>
      </c>
    </row>
    <row r="1928">
      <c r="A1928" s="18" t="n">
        <v>1927</v>
      </c>
      <c r="B1928" s="23" t="n">
        <v>-720</v>
      </c>
    </row>
    <row r="1929">
      <c r="A1929" s="18" t="n">
        <v>1928</v>
      </c>
      <c r="B1929" s="23" t="n">
        <v>-720</v>
      </c>
    </row>
    <row r="1930">
      <c r="A1930" s="18" t="n">
        <v>1929</v>
      </c>
      <c r="B1930" s="23" t="n">
        <v>-1280</v>
      </c>
    </row>
    <row r="1931">
      <c r="A1931" s="18" t="n">
        <v>1930</v>
      </c>
      <c r="B1931" s="23" t="n">
        <v>-640</v>
      </c>
    </row>
    <row r="1932">
      <c r="A1932" s="18" t="n">
        <v>1931</v>
      </c>
      <c r="B1932" s="23" t="n">
        <v>-160</v>
      </c>
    </row>
    <row r="1933">
      <c r="A1933" s="18" t="n">
        <v>1932</v>
      </c>
      <c r="B1933" s="23" t="n">
        <v>-1000</v>
      </c>
    </row>
    <row r="1934">
      <c r="A1934" s="18" t="n">
        <v>1933</v>
      </c>
      <c r="B1934" s="23" t="n">
        <v>-600</v>
      </c>
    </row>
    <row r="1935">
      <c r="A1935" s="18" t="n">
        <v>1934</v>
      </c>
      <c r="B1935" s="23" t="n">
        <v>-600</v>
      </c>
    </row>
    <row r="1936">
      <c r="A1936" s="18" t="n">
        <v>1935</v>
      </c>
      <c r="B1936" s="23" t="n">
        <v>-520</v>
      </c>
    </row>
    <row r="1937">
      <c r="A1937" s="18" t="n">
        <v>1936</v>
      </c>
      <c r="B1937" s="23" t="n">
        <v>-960</v>
      </c>
    </row>
    <row r="1938">
      <c r="A1938" s="18" t="n">
        <v>1937</v>
      </c>
      <c r="B1938" s="23" t="n">
        <v>-920</v>
      </c>
    </row>
    <row r="1939">
      <c r="A1939" s="18" t="n">
        <v>1938</v>
      </c>
      <c r="B1939" s="23" t="n">
        <v>-1320</v>
      </c>
    </row>
    <row r="1940">
      <c r="A1940" s="18" t="n">
        <v>1939</v>
      </c>
      <c r="B1940" s="23" t="n">
        <v>-80</v>
      </c>
    </row>
    <row r="1941">
      <c r="A1941" s="18" t="n">
        <v>1940</v>
      </c>
      <c r="B1941" s="23" t="n">
        <v>-1120</v>
      </c>
    </row>
    <row r="1942">
      <c r="A1942" s="18" t="n">
        <v>1941</v>
      </c>
      <c r="B1942" s="23" t="n">
        <v>-680</v>
      </c>
    </row>
    <row r="1943">
      <c r="A1943" s="18" t="n">
        <v>1942</v>
      </c>
      <c r="B1943" s="23" t="n">
        <v>-440</v>
      </c>
    </row>
    <row r="1944">
      <c r="A1944" s="18" t="n">
        <v>1943</v>
      </c>
      <c r="B1944" s="23" t="n">
        <v>-640</v>
      </c>
    </row>
    <row r="1945">
      <c r="A1945" s="18" t="n">
        <v>1944</v>
      </c>
      <c r="B1945" s="23" t="n">
        <v>-680</v>
      </c>
    </row>
    <row r="1946">
      <c r="A1946" s="18" t="n">
        <v>1945</v>
      </c>
      <c r="B1946" s="23" t="n">
        <v>-840</v>
      </c>
    </row>
    <row r="1947">
      <c r="A1947" s="18" t="n">
        <v>1946</v>
      </c>
      <c r="B1947" s="23" t="n">
        <v>-760</v>
      </c>
    </row>
    <row r="1948">
      <c r="A1948" s="18" t="n">
        <v>1947</v>
      </c>
      <c r="B1948" s="23" t="n">
        <v>-1040</v>
      </c>
    </row>
    <row r="1949">
      <c r="A1949" s="18" t="n">
        <v>1948</v>
      </c>
      <c r="B1949" s="23" t="n">
        <v>-760</v>
      </c>
    </row>
    <row r="1950">
      <c r="A1950" s="18" t="n">
        <v>1949</v>
      </c>
      <c r="B1950" s="23" t="n">
        <v>-1000</v>
      </c>
    </row>
    <row r="1951">
      <c r="A1951" s="18" t="n">
        <v>1950</v>
      </c>
      <c r="B1951" s="23" t="n">
        <v>-440</v>
      </c>
    </row>
    <row r="1952">
      <c r="A1952" s="18" t="n">
        <v>1951</v>
      </c>
      <c r="B1952" s="23" t="n">
        <v>-800</v>
      </c>
    </row>
    <row r="1953">
      <c r="A1953" s="18" t="n">
        <v>1952</v>
      </c>
      <c r="B1953" s="23" t="n">
        <v>-880</v>
      </c>
    </row>
    <row r="1954">
      <c r="A1954" s="18" t="n">
        <v>1953</v>
      </c>
      <c r="B1954" s="23" t="n">
        <v>240</v>
      </c>
    </row>
    <row r="1955">
      <c r="A1955" s="18" t="n">
        <v>1954</v>
      </c>
      <c r="B1955" s="23" t="n">
        <v>-680</v>
      </c>
    </row>
    <row r="1956">
      <c r="A1956" s="18" t="n">
        <v>1955</v>
      </c>
      <c r="B1956" s="23" t="n">
        <v>-1040</v>
      </c>
    </row>
    <row r="1957">
      <c r="A1957" s="18" t="n">
        <v>1956</v>
      </c>
      <c r="B1957" s="23" t="n">
        <v>0</v>
      </c>
    </row>
    <row r="1958">
      <c r="A1958" s="18" t="n">
        <v>1957</v>
      </c>
      <c r="B1958" s="23" t="n">
        <v>-1200</v>
      </c>
    </row>
    <row r="1959">
      <c r="A1959" s="18" t="n">
        <v>1958</v>
      </c>
      <c r="B1959" s="23" t="n">
        <v>-880</v>
      </c>
    </row>
    <row r="1960">
      <c r="A1960" s="18" t="n">
        <v>1959</v>
      </c>
      <c r="B1960" s="23" t="n">
        <v>-1120</v>
      </c>
    </row>
    <row r="1961">
      <c r="A1961" s="18" t="n">
        <v>1960</v>
      </c>
      <c r="B1961" s="23" t="n">
        <v>-600</v>
      </c>
    </row>
    <row r="1962">
      <c r="A1962" s="18" t="n">
        <v>1961</v>
      </c>
      <c r="B1962" s="23" t="n">
        <v>160</v>
      </c>
    </row>
    <row r="1963">
      <c r="A1963" s="18" t="n">
        <v>1962</v>
      </c>
      <c r="B1963" s="23" t="n">
        <v>-1280</v>
      </c>
    </row>
    <row r="1964">
      <c r="A1964" s="18" t="n">
        <v>1963</v>
      </c>
      <c r="B1964" s="23" t="n">
        <v>-1080</v>
      </c>
    </row>
    <row r="1965">
      <c r="A1965" s="18" t="n">
        <v>1964</v>
      </c>
      <c r="B1965" s="23" t="n">
        <v>-600</v>
      </c>
    </row>
    <row r="1966">
      <c r="A1966" s="18" t="n">
        <v>1965</v>
      </c>
      <c r="B1966" s="23" t="n">
        <v>-1280</v>
      </c>
    </row>
    <row r="1967">
      <c r="A1967" s="18" t="n">
        <v>1966</v>
      </c>
      <c r="B1967" s="23" t="n">
        <v>-520</v>
      </c>
    </row>
    <row r="1968">
      <c r="A1968" s="18" t="n">
        <v>1967</v>
      </c>
      <c r="B1968" s="23" t="n">
        <v>-160</v>
      </c>
    </row>
    <row r="1969">
      <c r="A1969" s="18" t="n">
        <v>1968</v>
      </c>
      <c r="B1969" s="23" t="n">
        <v>-200</v>
      </c>
    </row>
    <row r="1970">
      <c r="A1970" s="18" t="n">
        <v>1969</v>
      </c>
      <c r="B1970" s="23" t="n">
        <v>-960</v>
      </c>
    </row>
    <row r="1971">
      <c r="A1971" s="18" t="n">
        <v>1970</v>
      </c>
      <c r="B1971" s="23" t="n">
        <v>-280</v>
      </c>
    </row>
    <row r="1972">
      <c r="A1972" s="18" t="n">
        <v>1971</v>
      </c>
      <c r="B1972" s="23" t="n">
        <v>-120</v>
      </c>
    </row>
    <row r="1973">
      <c r="A1973" s="18" t="n">
        <v>1972</v>
      </c>
      <c r="B1973" s="23" t="n">
        <v>-280</v>
      </c>
    </row>
    <row r="1974">
      <c r="A1974" s="18" t="n">
        <v>1973</v>
      </c>
      <c r="B1974" s="23" t="n">
        <v>-1000</v>
      </c>
    </row>
    <row r="1975">
      <c r="A1975" s="18" t="n">
        <v>1974</v>
      </c>
      <c r="B1975" s="23" t="n">
        <v>-120</v>
      </c>
    </row>
    <row r="1976">
      <c r="A1976" s="18" t="n">
        <v>1975</v>
      </c>
      <c r="B1976" s="23" t="n">
        <v>-200</v>
      </c>
    </row>
    <row r="1977">
      <c r="A1977" s="18" t="n">
        <v>1976</v>
      </c>
      <c r="B1977" s="23" t="n">
        <v>-640</v>
      </c>
    </row>
    <row r="1978">
      <c r="A1978" s="18" t="n">
        <v>1977</v>
      </c>
      <c r="B1978" s="23" t="n">
        <v>-360</v>
      </c>
    </row>
    <row r="1979">
      <c r="A1979" s="18" t="n">
        <v>1978</v>
      </c>
      <c r="B1979" s="23" t="n">
        <v>-840</v>
      </c>
    </row>
    <row r="1980">
      <c r="A1980" s="18" t="n">
        <v>1979</v>
      </c>
      <c r="B1980" s="23" t="n">
        <v>-520</v>
      </c>
    </row>
    <row r="1981">
      <c r="A1981" s="18" t="n">
        <v>1980</v>
      </c>
      <c r="B1981" s="23" t="n">
        <v>-440</v>
      </c>
    </row>
    <row r="1982">
      <c r="A1982" s="18" t="n">
        <v>1981</v>
      </c>
      <c r="B1982" s="23" t="n">
        <v>-920</v>
      </c>
    </row>
    <row r="1983">
      <c r="A1983" s="18" t="n">
        <v>1982</v>
      </c>
      <c r="B1983" s="23" t="n">
        <v>-240</v>
      </c>
    </row>
    <row r="1984">
      <c r="A1984" s="18" t="n">
        <v>1983</v>
      </c>
      <c r="B1984" s="23" t="n">
        <v>-560</v>
      </c>
    </row>
    <row r="1985">
      <c r="A1985" s="18" t="n">
        <v>1984</v>
      </c>
      <c r="B1985" s="23" t="n">
        <v>-760</v>
      </c>
    </row>
    <row r="1986">
      <c r="A1986" s="18" t="n">
        <v>1985</v>
      </c>
      <c r="B1986" s="23" t="n">
        <v>-520</v>
      </c>
    </row>
    <row r="1987">
      <c r="A1987" s="18" t="n">
        <v>1986</v>
      </c>
      <c r="B1987" s="23" t="n">
        <v>-800</v>
      </c>
    </row>
    <row r="1988">
      <c r="A1988" s="18" t="n">
        <v>1987</v>
      </c>
      <c r="B1988" s="23" t="n">
        <v>-720</v>
      </c>
    </row>
    <row r="1989">
      <c r="A1989" s="18" t="n">
        <v>1988</v>
      </c>
      <c r="B1989" s="23" t="n">
        <v>-480</v>
      </c>
    </row>
    <row r="1990">
      <c r="A1990" s="18" t="n">
        <v>1989</v>
      </c>
      <c r="B1990" s="23" t="n">
        <v>-40</v>
      </c>
    </row>
    <row r="1991">
      <c r="A1991" s="18" t="n">
        <v>1990</v>
      </c>
      <c r="B1991" s="23" t="n">
        <v>-640</v>
      </c>
    </row>
    <row r="1992">
      <c r="A1992" s="18" t="n">
        <v>1991</v>
      </c>
      <c r="B1992" s="23" t="n">
        <v>-480</v>
      </c>
    </row>
    <row r="1993">
      <c r="A1993" s="18" t="n">
        <v>1992</v>
      </c>
      <c r="B1993" s="23" t="n">
        <v>-920</v>
      </c>
    </row>
    <row r="1994">
      <c r="A1994" s="18" t="n">
        <v>1993</v>
      </c>
      <c r="B1994" s="23" t="n">
        <v>-680</v>
      </c>
    </row>
    <row r="1995">
      <c r="A1995" s="18" t="n">
        <v>1994</v>
      </c>
      <c r="B1995" s="23" t="n">
        <v>-40</v>
      </c>
    </row>
    <row r="1996">
      <c r="A1996" s="18" t="n">
        <v>1995</v>
      </c>
      <c r="B1996" s="23" t="n">
        <v>-1440</v>
      </c>
    </row>
    <row r="1997">
      <c r="A1997" s="18" t="n">
        <v>1996</v>
      </c>
      <c r="B1997" s="23" t="n">
        <v>-80</v>
      </c>
    </row>
    <row r="1998">
      <c r="A1998" s="18" t="n">
        <v>1997</v>
      </c>
      <c r="B1998" s="23" t="n">
        <v>-720</v>
      </c>
    </row>
    <row r="1999">
      <c r="A1999" s="18" t="n">
        <v>1998</v>
      </c>
      <c r="B1999" s="23" t="n">
        <v>-1120</v>
      </c>
    </row>
    <row r="2000">
      <c r="A2000" s="18" t="n">
        <v>1999</v>
      </c>
      <c r="B2000" s="23" t="n">
        <v>-720</v>
      </c>
    </row>
    <row r="2001">
      <c r="A2001" s="18" t="n">
        <v>2000</v>
      </c>
      <c r="B2001" s="23" t="n">
        <v>-640</v>
      </c>
    </row>
  </sheetData>
  <conditionalFormatting sqref="H2:H6">
    <cfRule type="cellIs" priority="1" operator="equal" dxfId="0">
      <formula>"OK"</formula>
    </cfRule>
    <cfRule type="cellIs" priority="2" operator="equal" dxfId="1">
      <formula>"VERIFICAR"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2026-10-23T13:45:21Z</dcterms:created>
  <dcterms:modified xsi:type="dcterms:W3CDTF">2026-10-23T13:45:21Z</dcterms:modified>
</cp:coreProperties>
</file>